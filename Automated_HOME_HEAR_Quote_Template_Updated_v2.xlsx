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quick\Downloads\"/>
    </mc:Choice>
  </mc:AlternateContent>
  <xr:revisionPtr revIDLastSave="0" documentId="13_ncr:20001_{7CFC6DD4-E992-425C-8BF8-143B4B9A563B}" xr6:coauthVersionLast="47" xr6:coauthVersionMax="47" xr10:uidLastSave="{00000000-0000-0000-0000-000000000000}"/>
  <bookViews>
    <workbookView xWindow="-120" yWindow="-120" windowWidth="51840" windowHeight="21120" xr2:uid="{00000000-000D-0000-FFFF-FFFF00000000}"/>
  </bookViews>
  <sheets>
    <sheet name="Quote Template" sheetId="1" r:id="rId1"/>
    <sheet name="Data Lists" sheetId="2" r:id="rId2"/>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8" i="1" l="1"/>
  <c r="F24" i="1"/>
  <c r="E24" i="1"/>
  <c r="D24" i="1"/>
  <c r="C24" i="1"/>
  <c r="B24" i="1"/>
  <c r="F23" i="1"/>
  <c r="E23" i="1"/>
  <c r="D23" i="1"/>
  <c r="C23" i="1"/>
  <c r="B23" i="1"/>
  <c r="F22" i="1"/>
  <c r="E22" i="1"/>
  <c r="D22" i="1"/>
  <c r="C22" i="1"/>
  <c r="B22" i="1"/>
  <c r="F21" i="1"/>
  <c r="E21" i="1"/>
  <c r="D21" i="1"/>
  <c r="C21" i="1"/>
  <c r="B21" i="1"/>
  <c r="F20" i="1"/>
  <c r="E20" i="1"/>
  <c r="D20" i="1"/>
  <c r="C20" i="1"/>
  <c r="B20" i="1"/>
  <c r="F19" i="1"/>
  <c r="E19" i="1"/>
  <c r="D19" i="1"/>
  <c r="C19" i="1"/>
  <c r="B19" i="1"/>
  <c r="F18" i="1"/>
  <c r="E18" i="1"/>
  <c r="D18" i="1"/>
  <c r="C18" i="1"/>
  <c r="B18" i="1"/>
  <c r="F17" i="1"/>
  <c r="E17" i="1"/>
  <c r="D17" i="1"/>
  <c r="C17" i="1"/>
  <c r="B17" i="1"/>
  <c r="F16" i="1"/>
  <c r="E16" i="1"/>
  <c r="D16" i="1"/>
  <c r="C16" i="1"/>
  <c r="B16" i="1"/>
  <c r="F15" i="1"/>
  <c r="E15" i="1"/>
  <c r="D15" i="1"/>
  <c r="C15" i="1"/>
  <c r="B15" i="1"/>
  <c r="F14" i="1"/>
  <c r="E14" i="1"/>
  <c r="D14" i="1"/>
  <c r="C14" i="1"/>
  <c r="B14" i="1"/>
  <c r="F13" i="1"/>
  <c r="E13" i="1"/>
  <c r="D13" i="1"/>
  <c r="C13" i="1"/>
  <c r="B13" i="1"/>
  <c r="F12" i="1"/>
  <c r="E12" i="1"/>
  <c r="D12" i="1"/>
  <c r="C12" i="1"/>
  <c r="B12" i="1"/>
  <c r="F11" i="1"/>
  <c r="E11" i="1"/>
  <c r="D11" i="1"/>
  <c r="C11" i="1"/>
  <c r="B11" i="1"/>
  <c r="B26" i="1" l="1"/>
  <c r="B27" i="1"/>
  <c r="B29" i="1"/>
</calcChain>
</file>

<file path=xl/sharedStrings.xml><?xml version="1.0" encoding="utf-8"?>
<sst xmlns="http://schemas.openxmlformats.org/spreadsheetml/2006/main" count="154" uniqueCount="110">
  <si>
    <t>AUTOMATED HOME/HEAR QUOTE TEMPLATE</t>
  </si>
  <si>
    <t>Program</t>
  </si>
  <si>
    <t>H.O.M.E. QUOTE</t>
  </si>
  <si>
    <t>Energy Star HVAC - York 3 Ton Heat Pump System</t>
  </si>
  <si>
    <t>TECHNOLOGY CHOICE</t>
  </si>
  <si>
    <t>TECHNOLOGY</t>
  </si>
  <si>
    <t>DESCRIPTION</t>
  </si>
  <si>
    <t>UNIT PRICE</t>
  </si>
  <si>
    <t>REBATE</t>
  </si>
  <si>
    <t>TOTAL</t>
  </si>
  <si>
    <t>Hot Water Heat Pump - A.O. Smith Signature 900 50 Gal</t>
  </si>
  <si>
    <t>Electrical - Water Heater Only</t>
  </si>
  <si>
    <t>Energy Star HVAC - York 2 Ton Heat Pump System</t>
  </si>
  <si>
    <t>Attic Insulation - Owens Corning / PINK Next Gen R-38</t>
  </si>
  <si>
    <t>Air Seal - Attic Penetrations and Hatch</t>
  </si>
  <si>
    <t>SUBTOTAL</t>
  </si>
  <si>
    <t>SALES TAX</t>
  </si>
  <si>
    <t>TOTAL DUE</t>
  </si>
  <si>
    <t>Technology Choice</t>
  </si>
  <si>
    <t>Technology</t>
  </si>
  <si>
    <t>Description</t>
  </si>
  <si>
    <t>Unit Price</t>
  </si>
  <si>
    <t>Rebate</t>
  </si>
  <si>
    <t>Total</t>
  </si>
  <si>
    <t>Category</t>
  </si>
  <si>
    <t>Source</t>
  </si>
  <si>
    <t>Hot Water Heat Pump</t>
  </si>
  <si>
    <t>AHRI # 217166009
Brand and description: A.O. Smith Signature 900 50-Gallon Hybrid Heat Pump Water Heater
Model # HPSN10-50H45DV 2**
UEF: 3.8
Tank size: 50 gallons
Description of installation labor
Disconnect, remove, and replace the existing water heater with an ENERGY STAR heat pump water heater.
Disposal of removed equipment.
Disconnect existing water and gas or electrical connections and venting, as required.
Install the new water heater as specified in this proposal.
Set the unit in the existing location.
Connect to existing, serviceable water piping, gas or electric supply, temperature and pressure relief piping, and venting if applicable.
Start the unit and verify proper operation upon completion.</t>
  </si>
  <si>
    <t>HEAR / Constant</t>
  </si>
  <si>
    <t>New Charles McDonald Quote 20260701 + 61 Plainview Dr quote</t>
  </si>
  <si>
    <t>Hot Water Heat Pump - Aerotherm G2 50 Gal</t>
  </si>
  <si>
    <t>AHRI # 214784826
Brand and description: Aerotherm G2
Model # RE2HP5010PROPH50-T2-RH400
Efficiency: 430
Tank size: 50
Description of installation labor
Update gas water heater tank and replace it with an Energy Star Water Heater.
Disconnect and remove the existing water heater if applicable
Dispose and remove equipment
Disconnect existing water and gas or electrical connection and venting, as required
Install a new gas or electric water heater as specified in this proposal
Set unit in the existing location
Connect to existing, serviceable water piping, gas or electric supply, temperature and pressure relief piping, and venting.
Startup unit and verify proper operations</t>
  </si>
  <si>
    <t>HEAR</t>
  </si>
  <si>
    <t>11519 Blushing Star Ct quote</t>
  </si>
  <si>
    <t>H.E.A.R. QUOTE</t>
  </si>
  <si>
    <t>Electrical</t>
  </si>
  <si>
    <t>Detailed description
Materials needed, approximate length of wire: Wires for changing out Water Heater from Gas to Electric
Which qualified upgrade install requires electrical wiring: WH
Description of labor involved: Electrician will be updating panel and upgrades to electrical because of WH</t>
  </si>
  <si>
    <t>HEAR / Electrical</t>
  </si>
  <si>
    <t>Sawyer quote</t>
  </si>
  <si>
    <t>Electrical - HVAC and Water Heater</t>
  </si>
  <si>
    <t>Detailed description
Materials needed, approximate length of wire: Wires for changing out HVAC and Water Heater from Gas to Electric
Which qualified upgrade install requires electrical wiring: HVAC, WH
Description of labor involved: Electrician will be updating panel and upgrades to electrical because of WH and HVAC</t>
  </si>
  <si>
    <t>Jasmine/Samuel quotes</t>
  </si>
  <si>
    <t>Electrical Panel Upgrade - Main Outside Panel</t>
  </si>
  <si>
    <t>Electrical Panel</t>
  </si>
  <si>
    <t>Detailed description: Panel is not installed correctly. The panel box is over the breaker and impacts easy shutoff.
Materials needed: New panel box and updated breakers.
Specify main panel or subpanel: Main outside panel.
Description of labor involved: Electrician will update the panel and breakers as required by the qualified equipment installation.</t>
  </si>
  <si>
    <t>New Charles McDonald Quote 20260701</t>
  </si>
  <si>
    <t>Attic Insulation</t>
  </si>
  <si>
    <t>Location of insulation to be installed: Attic
Square feet of area to be insulated: 800 ft²
Type of Energy Star insulation: PINK Next Gen Owens Corning Batt Fiberglass Corning
Current R value: 12.15
Ending R value: 38</t>
  </si>
  <si>
    <t>HEAR / Constant Insulation</t>
  </si>
  <si>
    <t>Attic Insulation - Owens Corning 1,431 SF R-38</t>
  </si>
  <si>
    <t>Description of insulation
Location of insulation to be installed: Attic
Square feet of area to be insulated: 1,431
Type of Energy Star insulation: Owens Corning
Current R value: 12.15
Ending R value: 38</t>
  </si>
  <si>
    <t>HEAR / Insulation</t>
  </si>
  <si>
    <t>Attic Insulation - CertainTeed R-38 Spray In 1,100 SF</t>
  </si>
  <si>
    <t>Location of insulation to be installed: Attic
Square feet of area to be insulated: 1,100 ft²
Type of Energy Star insulation: CertainTeed R-38 Spray In Insulation for 1,100 sf area
Current R value: 3.75
Ending R value: 49 R Value</t>
  </si>
  <si>
    <t>5213 Walnut quote</t>
  </si>
  <si>
    <t>Crawl Space Insulation and Air Seal - Owens Corning R-19</t>
  </si>
  <si>
    <t>Crawl Space Insulation and Air Seal</t>
  </si>
  <si>
    <t>Owens Corning R-19 Wall Unfaced Fiberglass Batt Insulation 77.5-sq ft (15-in W x 93-in L) R-19 unfaced insulation batt, easy 2x6 wall, floor and crawlspace install.
34 R-Value added per Inch
Model #E55P Maximum R-Value -19
Square feet of area to be insulated: 800 ft²</t>
  </si>
  <si>
    <t>HOME / Constant Insulation</t>
  </si>
  <si>
    <t>Sawyer HOME quote</t>
  </si>
  <si>
    <t>Crawl Space Insulation and Air Seal - Owens Corning R-19 1,300 SF</t>
  </si>
  <si>
    <t>Owens Corning R-19 Wall Unfaced Fiberglass Batt Insulation 77.5-sq ft (15-in W x 93-in L) R-19 unfaced insulation batt, easy 2x6 wall, floor and crawlspace install
34 R-Value added per Inch
Model #E55P Maximum R-Value -19
Area: 1300 sf</t>
  </si>
  <si>
    <t>HOME / Insulation</t>
  </si>
  <si>
    <t>6313 Tabor Church Rd quote</t>
  </si>
  <si>
    <t>Air Seal</t>
  </si>
  <si>
    <t>List of each air sealing location: Air seal attic electrical, plumbing, walls and top plate penetrations. Attic hatch cover seal &amp; insulation.
Description of labor involved: 1 Day: 2- or 3-hour job</t>
  </si>
  <si>
    <t>HEAR / Air Seal</t>
  </si>
  <si>
    <t>Heat Pump Dryer - LG DLHC1455W</t>
  </si>
  <si>
    <t>Heat Pump Dryer</t>
  </si>
  <si>
    <t>Updating dryer to an Energy Star Heat Pump Dryer
Model DLHC1455W</t>
  </si>
  <si>
    <t>5213 Walnut material list</t>
  </si>
  <si>
    <t>Energy Star HVAC</t>
  </si>
  <si>
    <t>AHRI - 217016555
York 2 Ton HP ODU R454B. The YC6 models are 16+ SEER2 high-efficiency outdoor HVAC units designed to pair with residential indoor systems for complete home comfort solutions across the U.S. and Canada.
ODU: YH624E2S11
AHU: JHE24B5AC2SS1
Heater Kit: S1-8HK16500506
HSPF2 - 8
SEER2 - 16
EER2 - 12
Heating capacity 24000 BTU
Cooling capacity 24000 BTU
York 2 Ton AHU
Description of install labor
Our Exclusive 1 Year Installation Warranty
Evacuate refrigerant system, removes air and water
Ensure proper amount of freon in AC or HP
Complete inspection upon completion
Remove and dispose used equipment
Ensures proper drainage
Clean up work area before leaving worksite
Sealed connections for greater efficiency
Includes County permit
WIFI Thermostat
10 year compressor warranty
10 year parts warranty
Equipment Pad to stabilize outdoor unit
Equipment selection and sizing per our Heating &amp; Cooling load calculations.
Honeywell smart thermostat. 5” display comes with Equipment Interface Module for 2 wire operation.
Drip pan for air handler/furnace
New return air flex install - R-8 foil backed flex
New supply air flex install - R-8 foil backed flex
New return plenum box made of metal and insulated
New supply plenum distribution box made of metal and insulated
Standard duct work transition
County Permit included
Reconnect indoor equipment to existing electrical
Reconnect outdoor equipment to existing electrical</t>
  </si>
  <si>
    <t>HOME / HVAC</t>
  </si>
  <si>
    <t>Contractor Quick Reference + Sawyer quote</t>
  </si>
  <si>
    <t>AHRI # 217016556
Outdoor unit
Brand and description: York 3 Ton ODU
Model # YH636E2S11
HSPF2: 8
SEER2: 16
Heating capacity: 35,000 BTU
Cooling capacity: 34,000 BTU
Compatible indoor unit
Brand and description: York 3 Ton AHU
Model # JHE36B5CD2SS1
Description of installation labor
Remove the existing split-system HVAC equipment, including the outdoor unit and indoor air handler or furnace, if applicable.
Dispose of removed equipment.
Install the new ENERGY STAR split-system HVAC equipment specified in this proposal.
Set and secure the outdoor unit on the existing pad.
Install the indoor air handler or furnace in the existing location.
Connect to existing, serviceable ductwork, refrigerant piping, electrical connections, condensate drainage, gas piping if applicable, and thermostat wiring.
Evacuate, charge, and start the system in accordance with manufacturer requirements.
Verify proper operation upon completion.
Includes 1-year installation labor warranty and 10-year compressor and parts warranties.</t>
  </si>
  <si>
    <t>61 Plainview Dr - Goodew New + Contractor Quick Reference</t>
  </si>
  <si>
    <t>Energy Star HVAC - York 2 Ton Straight AC + Furnace</t>
  </si>
  <si>
    <t>AHRI - 216600211
York 2 Ton Straight AC + Furnace System
ODU: YC624E2S11
Furnace: Y81E060A12SMPS1
Coil: CTF24A5ABS1
SEER2 - 17.25
EER2 - 13
Cooling capacity 24000 BTU
10-year parts / 10-year compressor warranty
Description of install labor
Our Exclusive 1 Year Installation Warranty
Evacuate refrigerant system, removes air and water
Ensure proper amount of freon in AC or HP
Complete inspection upon completion
Remove and dispose used equipment
Ensures proper drainage
Clean up work area before leaving worksite
Sealed connections for greater efficiency
Includes County permit
WIFI Thermostat
10 year compressor warranty
10 year parts warranty
Equipment Pad to stabilize outdoor unit
Equipment selection and sizing per our Heating &amp; Cooling load calculations.
Honeywell smart thermostat. 5” display comes with Equipment Interface Module for 2 wire operation.
Drip pan for air handler/furnace
New return air flex install - R-8 foil backed flex
New supply air flex install - R-8 foil backed flex
New return plenum box made of metal and insulated
New supply plenum distribution box made of metal and insulated
Standard duct work transition
County Permit included
Reconnect indoor equipment to existing electrical
Reconnect outdoor equipment to existing electrical</t>
  </si>
  <si>
    <t>Contractor Quick Reference</t>
  </si>
  <si>
    <t>Energy Star HVAC - York 3 Ton Straight AC + Furnace</t>
  </si>
  <si>
    <t>AHRI - 216600174
York 3 Ton Straight AC + Furnace System
ODU: YC636E2S11
Furnace: Y81E080B12SMPS1
Coil: CTF36B5ADS1
SEER2 - 16.25
EER2 - 12.5
Cooling capacity 36000 BTU
10-year parts / 10-year compressor warranty
Description of install labor
Our Exclusive 1 Year Installation Warranty
Evacuate refrigerant system, removes air and water
Ensure proper amount of freon in AC or HP
Complete inspection upon completion
Remove and dispose used equipment
Ensures proper drainage
Clean up work area before leaving worksite
Sealed connections for greater efficiency
Includes County permit
WIFI Thermostat
10 year compressor warranty
10 year parts warranty
Equipment Pad to stabilize outdoor unit
Equipment selection and sizing per our Heating &amp; Cooling load calculations.
Honeywell smart thermostat. 5” display comes with Equipment Interface Module for 2 wire operation.
Drip pan for air handler/furnace
New return air flex install - R-8 foil backed flex
New supply air flex install - R-8 foil backed flex
New return plenum box made of metal and insulated
New supply plenum distribution box made of metal and insulated
Standard duct work transition
County Permit included
Reconnect indoor equipment to existing electrical
Reconnect outdoor equipment to existing electrical</t>
  </si>
  <si>
    <t>Energy Star HVAC - MoovAir HP 3 Ton</t>
  </si>
  <si>
    <t>AHRI # 216030978
Outdoor unit
Brand and description: MoovAir HP 3 Ton
Model # MSHMB36R2AN1
HSPF2: 10
SEER2: 18
Heating capacity: 37000
Compatible indoor unit description for each outdoor unit
Brand and description: MoovAir HP
Model # MSHMA36
Description of install labor
Our Exclusive 1 Year Installation Warranty
Evacuate refrigerant system, removes air and water
Ensure proper amount of freon in AC or HP
Complete inspection upon completion
Remove and dispose used equipment
Ensures proper drainage
Clean up work area before leaving worksite
Sealed connections for greater efficiency
Includes County permit
WIFI Thermostat
10 year compressor warranty
10 year parts warranty
Equipment Pad to stabilize outdoor unit
Equipment selection and sizing per our Heating &amp; Cooling load calculations.
Honeywell smart thermostat. 5” display comes with Equipment Interface Module for 2 wire operation.
Drip pan for air handler/furnace
New return air flex install - R-8 foil backed flex
New supply air flex install - R-8 foil backed flex
New return plenum box made of metal and insulated
New supply plenum distribution box made of metal and insulated
Standard duct work transition
County Permit included
Reconnect indoor equipment to existing electrical
Reconnect outdoor equipment to existing electrical</t>
  </si>
  <si>
    <t>Electrical - Water Heater Only ($1,160)</t>
  </si>
  <si>
    <t>Detailed description
Materials needed, approximate length of wire: Wires for changing out the water heater from gas to electric.
Qualified upgrade requiring electrical wiring: Water heater.
Description of labor involved: Electrician will update the panel and complete electrical upgrades required for the water heater installation.</t>
  </si>
  <si>
    <t>Electrical - New Lines and Outlets for Dryer, WH and HP</t>
  </si>
  <si>
    <t>Detailed description
Materials needed: New electrical lines, outlets for the dryer, and electrical equipment for the water heater and heat pump.
Qualified upgrades requiring electrical wiring: Heat pump dryer, water heater, and heat pump HVAC.
Includes labor, preventative maintenance, and electrical safety work associated with the qualified upgrades.</t>
  </si>
  <si>
    <t>61 Plainview Dr - Goodew New</t>
  </si>
  <si>
    <t>Attic Insulation - Owens Corning AttiCat 1,300 SF R-38</t>
  </si>
  <si>
    <t>Location of insulation to be installed: Attic
Square feet of area to be insulated: 1,300 ft²
ENERGY STAR insulation: Owens Corning R-19 to R-60 AttiCat PINK fiberglass blown-in insulation
Current R-value: 0
Ending R-value: 38</t>
  </si>
  <si>
    <t>Attic Insulation - Owens Corning AttiCat 1,100 SF R-38</t>
  </si>
  <si>
    <t>Location of insulation to be installed: Attic
Square feet of area to be insulated: 1,100 ft²
ENERGY STAR insulation: Owens Corning loose-fill AttiCat
Current R-value: 10–12
Ending R-value: 38</t>
  </si>
  <si>
    <t>Crawl Space Insulation - Owens Corning R-19 1,300 SF</t>
  </si>
  <si>
    <t>Crawl Space Insulation</t>
  </si>
  <si>
    <t>Owens Corning R-19 wall batt insulation, 77.5 sq. ft. package size (15 in. W × 93 in. L).
R-19 unfaced fiberglass batt suitable for 2×6 walls, floors, and crawlspaces.
Area to be installed: 1,300 ft²
Maximum R-value: R-19.</t>
  </si>
  <si>
    <t>Air Seal - Door, Attic and Fan Penetrations</t>
  </si>
  <si>
    <t>Air sealing locations: Door, attic, and fan.
Penetrations and air infiltration addressed: Plumbing, walls, and top-plate penetrations.
Product: Sealant.</t>
  </si>
  <si>
    <t>HOME / Air Seal</t>
  </si>
  <si>
    <t>Column1</t>
  </si>
  <si>
    <t>Column2</t>
  </si>
  <si>
    <t>Column3</t>
  </si>
  <si>
    <t>Column4</t>
  </si>
  <si>
    <t>Column5</t>
  </si>
  <si>
    <t>CLIENT NAME</t>
  </si>
  <si>
    <t>ADDRESS LINE 1</t>
  </si>
  <si>
    <t>CITY, STATE ZIP</t>
  </si>
  <si>
    <t>INVOICE #</t>
  </si>
  <si>
    <t>QUOTE DATE</t>
  </si>
  <si>
    <t>fPROGRAM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</si>
</sst>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
    <numFmt numFmtId="165" formatCode="\$#,##0;\-\$#,##0;\$0"/>
    <numFmt numFmtId="167" formatCode="&quot;$&quot;#,##0.00"/>
  </numFmts>
  <fonts count="20">
    <font>
      <sz val="11"/>
      <name val="Carlito"/>
    </font>
    <font>
      <b/>
      <sz val="11"/>
      <color rgb="FFFFFFFF"/>
      <name val="Carlito"/>
    </font>
    <font>
      <b/>
      <sz val="11"/>
      <color rgb="FF7C2D12"/>
      <name val="Carlito"/>
    </font>
    <font>
      <sz val="11"/>
      <color rgb="FF7C2D12"/>
      <name val="Carlito"/>
    </font>
    <font>
      <b/>
      <sz val="11"/>
      <color theme="1"/>
      <name val="Calibri"/>
      <family val="2"/>
      <scheme val="minor"/>
    </font>
    <font>
      <sz val="9"/>
      <name val="Carlito"/>
    </font>
    <font>
      <b/>
      <sz val="11"/>
      <color theme="1"/>
      <name val="Carlito"/>
    </font>
    <font>
      <sz val="11"/>
      <name val="Arial"/>
      <family val="2"/>
    </font>
    <font>
      <sz val="11"/>
      <color rgb="FF7C2D12"/>
      <name val="Arial"/>
      <family val="2"/>
    </font>
    <font>
      <b/>
      <sz val="11"/>
      <color theme="1"/>
      <name val="Arial"/>
      <family val="2"/>
    </font>
    <font>
      <sz val="9"/>
      <name val="Arial"/>
      <family val="2"/>
    </font>
    <font>
      <b/>
      <sz val="11"/>
      <color rgb="FFFFFFFF"/>
      <name val="Arial"/>
      <family val="2"/>
    </font>
    <font>
      <sz val="10"/>
      <name val="Arial"/>
      <family val="2"/>
    </font>
    <font>
      <b/>
      <sz val="10"/>
      <name val="Arial"/>
      <family val="2"/>
    </font>
    <font>
      <b/>
      <sz val="11"/>
      <name val="Abadi"/>
      <family val="2"/>
    </font>
    <font>
      <b/>
      <sz val="12"/>
      <color theme="1"/>
      <name val="Abadi"/>
      <family val="2"/>
    </font>
    <font>
      <b/>
      <sz val="11"/>
      <color theme="1"/>
      <name val="Abadi"/>
      <family val="2"/>
    </font>
    <font>
      <b/>
      <sz val="9"/>
      <name val="Abadi"/>
      <family val="2"/>
    </font>
    <font>
      <sz val="9"/>
      <name val="Abadi"/>
      <family val="2"/>
    </font>
    <font>
      <b/>
      <sz val="11"/>
      <color rgb="FFFFFFFF"/>
      <name val="Abadi"/>
      <family val="2"/>
    </font>
  </fonts>
  <fills count="10">
    <fill>
      <patternFill patternType="none"/>
    </fill>
    <fill>
      <patternFill patternType="gray125"/>
    </fill>
    <fill>
      <patternFill patternType="solid">
        <fgColor rgb="FF1F4E78"/>
      </patternFill>
    </fill>
    <fill>
      <patternFill patternType="solid">
        <fgColor rgb="FFDBEAFE"/>
      </patternFill>
    </fill>
    <fill>
      <patternFill patternType="solid">
        <fgColor theme="1"/>
        <bgColor indexed="64"/>
      </patternFill>
    </fill>
    <fill>
      <patternFill patternType="solid">
        <fgColor rgb="FF87E6F9"/>
        <bgColor indexed="64"/>
      </patternFill>
    </fill>
    <fill>
      <patternFill patternType="solid">
        <fgColor rgb="FFFFD44B"/>
        <bgColor indexed="64"/>
      </patternFill>
    </fill>
    <fill>
      <patternFill patternType="solid">
        <fgColor rgb="FFC2C2C2"/>
        <bgColor indexed="64"/>
      </patternFill>
    </fill>
    <fill>
      <patternFill patternType="solid">
        <fgColor theme="4" tint="0.59999389629810485"/>
        <bgColor indexed="64"/>
      </patternFill>
    </fill>
    <fill>
      <patternFill patternType="solid">
        <fgColor rgb="FFDBFFB7"/>
        <bgColor indexed="64"/>
      </patternFill>
    </fill>
  </fills>
  <borders count="32">
    <border>
      <left/>
      <right/>
      <top/>
      <bottom/>
      <diagonal/>
    </border>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right style="thin">
        <color indexed="64"/>
      </right>
      <top/>
      <bottom style="medium">
        <color indexed="64"/>
      </bottom>
      <diagonal/>
    </border>
    <border>
      <left style="medium">
        <color indexed="64"/>
      </left>
      <right/>
      <top style="medium">
        <color indexed="64"/>
      </top>
      <bottom/>
      <diagonal/>
    </border>
  </borders>
  <cellStyleXfs count="1">
    <xf numFmtId="0" fontId="0" fillId="0" borderId="0"/>
  </cellStyleXfs>
  <cellXfs count="80">
    <xf numFmtId="0" fontId="0" fillId="0" borderId="0" xfId="0"/>
    <xf numFmtId="0" fontId="0" fillId="0" borderId="0" xfId="0" applyAlignment="1">
      <alignment wrapText="1"/>
    </xf>
    <xf numFmtId="0" fontId="1" fillId="2" borderId="0" xfId="0" applyFont="1" applyFill="1" applyAlignment="1">
      <alignment horizontal="center" vertical="center" wrapText="1"/>
    </xf>
    <xf numFmtId="0" fontId="0" fillId="0" borderId="0" xfId="0" applyAlignment="1">
      <alignment vertical="top" wrapText="1"/>
    </xf>
    <xf numFmtId="0" fontId="0" fillId="0" borderId="0" xfId="0" applyAlignment="1">
      <alignment horizontal="left" vertical="center" wrapText="1"/>
    </xf>
    <xf numFmtId="0" fontId="0" fillId="4" borderId="0" xfId="0" applyFill="1" applyAlignment="1">
      <alignment vertical="top" wrapText="1"/>
    </xf>
    <xf numFmtId="0" fontId="0" fillId="0" borderId="1" xfId="0" applyBorder="1" applyAlignment="1">
      <alignment wrapText="1"/>
    </xf>
    <xf numFmtId="0" fontId="2" fillId="4" borderId="5" xfId="0" applyFont="1" applyFill="1" applyBorder="1" applyAlignment="1">
      <alignment horizontal="left" vertical="top" wrapText="1"/>
    </xf>
    <xf numFmtId="0" fontId="3" fillId="4" borderId="5" xfId="0" applyFont="1" applyFill="1" applyBorder="1" applyAlignment="1">
      <alignment horizontal="left" vertical="top" wrapText="1"/>
    </xf>
    <xf numFmtId="0" fontId="0" fillId="4" borderId="2" xfId="0" applyFill="1" applyBorder="1" applyAlignment="1">
      <alignment vertical="top" wrapText="1"/>
    </xf>
    <xf numFmtId="0" fontId="0" fillId="4" borderId="2" xfId="0" applyFill="1" applyBorder="1" applyAlignment="1">
      <alignment horizontal="left" vertical="center" wrapText="1"/>
    </xf>
    <xf numFmtId="0" fontId="0" fillId="4" borderId="13" xfId="0" applyFill="1" applyBorder="1" applyAlignment="1">
      <alignment horizontal="center" vertical="center" wrapText="1"/>
    </xf>
    <xf numFmtId="0" fontId="0" fillId="4" borderId="13" xfId="0" applyFill="1" applyBorder="1" applyAlignment="1">
      <alignment horizontal="left" vertical="center" wrapText="1"/>
    </xf>
    <xf numFmtId="165" fontId="1" fillId="4" borderId="2" xfId="0" applyNumberFormat="1" applyFont="1" applyFill="1" applyBorder="1" applyAlignment="1">
      <alignment vertical="center" wrapText="1"/>
    </xf>
    <xf numFmtId="0" fontId="4" fillId="4" borderId="6" xfId="0" applyFont="1" applyFill="1" applyBorder="1" applyAlignment="1">
      <alignment horizontal="center" vertical="center" wrapText="1"/>
    </xf>
    <xf numFmtId="0" fontId="7" fillId="4" borderId="0" xfId="0" applyFont="1" applyFill="1" applyAlignment="1">
      <alignment vertical="top" wrapText="1"/>
    </xf>
    <xf numFmtId="165" fontId="7" fillId="4" borderId="0" xfId="0" applyNumberFormat="1" applyFont="1" applyFill="1" applyAlignment="1">
      <alignment vertical="top" wrapText="1"/>
    </xf>
    <xf numFmtId="0" fontId="9" fillId="5" borderId="6" xfId="0" applyFont="1" applyFill="1" applyBorder="1" applyAlignment="1">
      <alignment horizontal="center" vertical="center" wrapText="1"/>
    </xf>
    <xf numFmtId="0" fontId="12" fillId="0" borderId="6" xfId="0" applyFont="1" applyBorder="1" applyAlignment="1">
      <alignment horizontal="left" vertical="center" wrapText="1"/>
    </xf>
    <xf numFmtId="0" fontId="12" fillId="0" borderId="6" xfId="0" applyFont="1" applyBorder="1" applyAlignment="1">
      <alignment horizontal="left" vertical="top" wrapText="1"/>
    </xf>
    <xf numFmtId="167" fontId="12" fillId="0" borderId="6" xfId="0" applyNumberFormat="1" applyFont="1" applyBorder="1" applyAlignment="1">
      <alignment horizontal="center" vertical="center" wrapText="1"/>
    </xf>
    <xf numFmtId="0" fontId="12" fillId="0" borderId="6" xfId="0" applyFont="1" applyBorder="1" applyAlignment="1">
      <alignment horizontal="center" vertical="center" wrapText="1"/>
    </xf>
    <xf numFmtId="0" fontId="6" fillId="5" borderId="6" xfId="0" applyFont="1" applyFill="1" applyBorder="1" applyAlignment="1">
      <alignment horizontal="left" vertical="center" wrapText="1"/>
    </xf>
    <xf numFmtId="0" fontId="13" fillId="0" borderId="6" xfId="0" applyFont="1" applyBorder="1" applyAlignment="1">
      <alignment horizontal="left" vertical="center" wrapText="1"/>
    </xf>
    <xf numFmtId="0" fontId="5" fillId="4" borderId="9" xfId="0" applyFont="1" applyFill="1" applyBorder="1" applyAlignment="1">
      <alignment horizontal="left" vertical="center" wrapText="1"/>
    </xf>
    <xf numFmtId="0" fontId="0" fillId="4" borderId="9" xfId="0" applyFill="1" applyBorder="1" applyAlignment="1">
      <alignment horizontal="left" vertical="center" wrapText="1"/>
    </xf>
    <xf numFmtId="164" fontId="10" fillId="0" borderId="18" xfId="0" applyNumberFormat="1" applyFont="1" applyFill="1" applyBorder="1" applyAlignment="1">
      <alignment horizontal="left" vertical="top" wrapText="1"/>
    </xf>
    <xf numFmtId="164" fontId="10" fillId="0" borderId="21" xfId="0" applyNumberFormat="1" applyFont="1" applyFill="1" applyBorder="1" applyAlignment="1">
      <alignment horizontal="left" vertical="top" wrapText="1"/>
    </xf>
    <xf numFmtId="164" fontId="10" fillId="0" borderId="21" xfId="0" applyNumberFormat="1" applyFont="1" applyFill="1" applyBorder="1" applyAlignment="1">
      <alignment horizontal="left" vertical="center" wrapText="1"/>
    </xf>
    <xf numFmtId="0" fontId="10" fillId="0" borderId="21" xfId="0" applyFont="1" applyFill="1" applyBorder="1" applyAlignment="1">
      <alignment horizontal="left" vertical="center" wrapText="1"/>
    </xf>
    <xf numFmtId="0" fontId="10" fillId="0" borderId="23" xfId="0" applyFont="1" applyFill="1" applyBorder="1" applyAlignment="1">
      <alignment horizontal="left" vertical="center" wrapText="1"/>
    </xf>
    <xf numFmtId="0" fontId="7" fillId="3" borderId="15" xfId="0" applyFont="1" applyFill="1" applyBorder="1" applyAlignment="1">
      <alignment horizontal="center" vertical="top" wrapText="1"/>
    </xf>
    <xf numFmtId="0" fontId="7" fillId="3" borderId="27" xfId="0" applyFont="1" applyFill="1" applyBorder="1" applyAlignment="1">
      <alignment horizontal="center" vertical="top" wrapText="1"/>
    </xf>
    <xf numFmtId="0" fontId="8" fillId="4" borderId="24" xfId="0" applyFont="1" applyFill="1" applyBorder="1" applyAlignment="1">
      <alignment horizontal="center" vertical="center" wrapText="1"/>
    </xf>
    <xf numFmtId="0" fontId="8" fillId="4" borderId="24" xfId="0" applyFont="1" applyFill="1" applyBorder="1" applyAlignment="1">
      <alignment horizontal="center" vertical="center" wrapText="1"/>
    </xf>
    <xf numFmtId="0" fontId="8" fillId="4" borderId="25" xfId="0" applyFont="1" applyFill="1" applyBorder="1" applyAlignment="1">
      <alignment horizontal="center" vertical="center" wrapText="1"/>
    </xf>
    <xf numFmtId="0" fontId="7" fillId="4" borderId="5" xfId="0" applyFont="1" applyFill="1" applyBorder="1" applyAlignment="1">
      <alignment vertical="top" wrapText="1"/>
    </xf>
    <xf numFmtId="165" fontId="11" fillId="4" borderId="2" xfId="0" applyNumberFormat="1" applyFont="1" applyFill="1" applyBorder="1" applyAlignment="1">
      <alignment vertical="center" wrapText="1"/>
    </xf>
    <xf numFmtId="165" fontId="7" fillId="4" borderId="2" xfId="0" applyNumberFormat="1" applyFont="1" applyFill="1" applyBorder="1" applyAlignment="1">
      <alignment horizontal="left" vertical="center" wrapText="1"/>
    </xf>
    <xf numFmtId="165" fontId="7" fillId="4" borderId="2" xfId="0" applyNumberFormat="1" applyFont="1" applyFill="1" applyBorder="1" applyAlignment="1">
      <alignment vertical="top" wrapText="1"/>
    </xf>
    <xf numFmtId="0" fontId="7" fillId="4" borderId="30" xfId="0" applyFont="1" applyFill="1" applyBorder="1" applyAlignment="1">
      <alignment horizontal="left" vertical="top" wrapText="1"/>
    </xf>
    <xf numFmtId="0" fontId="7" fillId="4" borderId="26" xfId="0" applyFont="1" applyFill="1" applyBorder="1" applyAlignment="1">
      <alignment vertical="top" wrapText="1"/>
    </xf>
    <xf numFmtId="0" fontId="7" fillId="4" borderId="27" xfId="0" applyFont="1" applyFill="1" applyBorder="1" applyAlignment="1">
      <alignment vertical="top" wrapText="1"/>
    </xf>
    <xf numFmtId="0" fontId="7" fillId="4" borderId="26" xfId="0" applyFont="1" applyFill="1" applyBorder="1" applyAlignment="1">
      <alignment horizontal="center" vertical="top" wrapText="1"/>
    </xf>
    <xf numFmtId="0" fontId="7" fillId="4" borderId="15" xfId="0" applyFont="1" applyFill="1" applyBorder="1" applyAlignment="1">
      <alignment horizontal="center" vertical="top" wrapText="1"/>
    </xf>
    <xf numFmtId="0" fontId="7" fillId="4" borderId="4" xfId="0" applyFont="1" applyFill="1" applyBorder="1" applyAlignment="1">
      <alignment vertical="top" wrapText="1"/>
    </xf>
    <xf numFmtId="0" fontId="7" fillId="4" borderId="28" xfId="0" applyFont="1" applyFill="1" applyBorder="1" applyAlignment="1">
      <alignment vertical="top" wrapText="1"/>
    </xf>
    <xf numFmtId="0" fontId="7" fillId="4" borderId="3" xfId="0" applyFont="1" applyFill="1" applyBorder="1" applyAlignment="1">
      <alignment vertical="top" wrapText="1"/>
    </xf>
    <xf numFmtId="0" fontId="7" fillId="4" borderId="29" xfId="0" applyFont="1" applyFill="1" applyBorder="1" applyAlignment="1">
      <alignment vertical="top" wrapText="1"/>
    </xf>
    <xf numFmtId="0" fontId="14" fillId="7" borderId="15" xfId="0" applyFont="1" applyFill="1" applyBorder="1" applyAlignment="1">
      <alignment horizontal="left" vertical="center" wrapText="1"/>
    </xf>
    <xf numFmtId="0" fontId="7" fillId="3" borderId="31" xfId="0" applyFont="1" applyFill="1" applyBorder="1" applyAlignment="1">
      <alignment horizontal="center" vertical="top" wrapText="1"/>
    </xf>
    <xf numFmtId="0" fontId="15" fillId="8" borderId="7" xfId="0" applyFont="1" applyFill="1" applyBorder="1" applyAlignment="1">
      <alignment horizontal="center" vertical="center" wrapText="1"/>
    </xf>
    <xf numFmtId="0" fontId="15" fillId="8" borderId="8" xfId="0" applyFont="1" applyFill="1" applyBorder="1" applyAlignment="1">
      <alignment horizontal="center" vertical="center" wrapText="1"/>
    </xf>
    <xf numFmtId="0" fontId="15" fillId="8" borderId="9" xfId="0" applyFont="1" applyFill="1" applyBorder="1" applyAlignment="1">
      <alignment horizontal="center" vertical="center" wrapText="1"/>
    </xf>
    <xf numFmtId="0" fontId="16" fillId="8" borderId="6" xfId="0" applyFont="1" applyFill="1" applyBorder="1" applyAlignment="1">
      <alignment horizontal="center" vertical="center" wrapText="1"/>
    </xf>
    <xf numFmtId="0" fontId="16" fillId="8" borderId="14" xfId="0" applyFont="1" applyFill="1" applyBorder="1" applyAlignment="1">
      <alignment horizontal="center" vertical="center" wrapText="1"/>
    </xf>
    <xf numFmtId="0" fontId="16" fillId="6" borderId="14" xfId="0" applyFont="1" applyFill="1" applyBorder="1" applyAlignment="1">
      <alignment horizontal="center" vertical="center" wrapText="1"/>
    </xf>
    <xf numFmtId="0" fontId="7" fillId="9" borderId="6" xfId="0" applyFont="1" applyFill="1" applyBorder="1" applyAlignment="1">
      <alignment horizontal="left" vertical="center" wrapText="1"/>
    </xf>
    <xf numFmtId="0" fontId="14" fillId="7" borderId="10" xfId="0" applyFont="1" applyFill="1" applyBorder="1" applyAlignment="1">
      <alignment horizontal="right" vertical="center" wrapText="1"/>
    </xf>
    <xf numFmtId="0" fontId="14" fillId="7" borderId="11" xfId="0" applyFont="1" applyFill="1" applyBorder="1" applyAlignment="1">
      <alignment horizontal="right" vertical="center" wrapText="1"/>
    </xf>
    <xf numFmtId="0" fontId="14" fillId="6" borderId="12" xfId="0" applyFont="1" applyFill="1" applyBorder="1" applyAlignment="1">
      <alignment horizontal="right" vertical="center" wrapText="1"/>
    </xf>
    <xf numFmtId="165" fontId="14" fillId="0" borderId="20" xfId="0" applyNumberFormat="1" applyFont="1" applyBorder="1" applyAlignment="1">
      <alignment horizontal="center" vertical="center" wrapText="1"/>
    </xf>
    <xf numFmtId="165" fontId="14" fillId="0" borderId="22" xfId="0" applyNumberFormat="1" applyFont="1" applyBorder="1" applyAlignment="1">
      <alignment horizontal="center" vertical="center" wrapText="1"/>
    </xf>
    <xf numFmtId="0" fontId="17" fillId="9" borderId="7" xfId="0" applyFont="1" applyFill="1" applyBorder="1" applyAlignment="1">
      <alignment horizontal="left" vertical="center" wrapText="1"/>
    </xf>
    <xf numFmtId="0" fontId="17" fillId="0" borderId="15" xfId="0" applyFont="1" applyBorder="1" applyAlignment="1">
      <alignment horizontal="center" vertical="center" wrapText="1"/>
    </xf>
    <xf numFmtId="0" fontId="17" fillId="0" borderId="16" xfId="0" applyFont="1" applyBorder="1" applyAlignment="1">
      <alignment horizontal="center" vertical="center" wrapText="1"/>
    </xf>
    <xf numFmtId="164" fontId="17" fillId="0" borderId="16" xfId="0" applyNumberFormat="1" applyFont="1" applyBorder="1" applyAlignment="1">
      <alignment horizontal="center" vertical="center" wrapText="1"/>
    </xf>
    <xf numFmtId="1" fontId="17" fillId="0" borderId="16" xfId="0" applyNumberFormat="1" applyFont="1" applyBorder="1" applyAlignment="1">
      <alignment horizontal="center" vertical="center" wrapText="1"/>
    </xf>
    <xf numFmtId="0" fontId="18" fillId="0" borderId="17" xfId="0" applyFont="1" applyBorder="1" applyAlignment="1">
      <alignment horizontal="center" vertical="center" wrapText="1"/>
    </xf>
    <xf numFmtId="165" fontId="14" fillId="0" borderId="19" xfId="0" applyNumberFormat="1" applyFont="1" applyFill="1" applyBorder="1" applyAlignment="1">
      <alignment horizontal="center" vertical="center" wrapText="1"/>
    </xf>
    <xf numFmtId="165" fontId="14" fillId="0" borderId="19" xfId="0" applyNumberFormat="1" applyFont="1" applyBorder="1" applyAlignment="1">
      <alignment horizontal="center" vertical="center" wrapText="1"/>
    </xf>
    <xf numFmtId="165" fontId="14" fillId="0" borderId="2" xfId="0" applyNumberFormat="1" applyFont="1" applyFill="1" applyBorder="1" applyAlignment="1">
      <alignment horizontal="center" vertical="center" wrapText="1"/>
    </xf>
    <xf numFmtId="165" fontId="14" fillId="0" borderId="2" xfId="0" applyNumberFormat="1" applyFont="1" applyBorder="1" applyAlignment="1">
      <alignment horizontal="center" vertical="center" wrapText="1"/>
    </xf>
    <xf numFmtId="165" fontId="19" fillId="0" borderId="2" xfId="0" applyNumberFormat="1" applyFont="1" applyFill="1" applyBorder="1" applyAlignment="1">
      <alignment horizontal="center" vertical="center" wrapText="1"/>
    </xf>
    <xf numFmtId="165" fontId="14" fillId="0" borderId="24" xfId="0" applyNumberFormat="1" applyFont="1" applyFill="1" applyBorder="1" applyAlignment="1">
      <alignment horizontal="center" vertical="center" wrapText="1"/>
    </xf>
    <xf numFmtId="165" fontId="14" fillId="0" borderId="24" xfId="0" applyNumberFormat="1" applyFont="1" applyBorder="1" applyAlignment="1">
      <alignment horizontal="center" vertical="center" wrapText="1"/>
    </xf>
    <xf numFmtId="165" fontId="14" fillId="0" borderId="25" xfId="0" applyNumberFormat="1" applyFont="1" applyBorder="1" applyAlignment="1">
      <alignment horizontal="center" vertical="center" wrapText="1"/>
    </xf>
    <xf numFmtId="167" fontId="14" fillId="0" borderId="10" xfId="0" applyNumberFormat="1" applyFont="1" applyBorder="1" applyAlignment="1">
      <alignment horizontal="right" vertical="center" wrapText="1"/>
    </xf>
    <xf numFmtId="167" fontId="14" fillId="0" borderId="11" xfId="0" applyNumberFormat="1" applyFont="1" applyBorder="1" applyAlignment="1">
      <alignment horizontal="right" vertical="center" wrapText="1"/>
    </xf>
    <xf numFmtId="167" fontId="14" fillId="0" borderId="12" xfId="0" applyNumberFormat="1" applyFont="1" applyBorder="1" applyAlignment="1">
      <alignment horizontal="right" vertical="center" wrapText="1"/>
    </xf>
  </cellXfs>
  <cellStyles count="1">
    <cellStyle name="Normal" xfId="0" builtinId="0"/>
  </cellStyles>
  <dxfs count="15">
    <dxf>
      <font>
        <strike val="0"/>
        <outline val="0"/>
        <shadow val="0"/>
        <u val="none"/>
        <vertAlign val="baseline"/>
        <sz val="11"/>
        <color theme="1"/>
        <name val="Arial"/>
        <family val="2"/>
        <scheme val="none"/>
      </font>
      <fill>
        <patternFill patternType="solid">
          <fgColor indexed="64"/>
          <bgColor rgb="FF87E6F9"/>
        </patternFill>
      </fill>
      <alignment horizontal="center" vertical="center" textRotation="0" wrapText="1" indent="0" justifyLastLine="0" shrinkToFit="0" readingOrder="0"/>
      <border diagonalUp="0" diagonalDown="0" outline="0">
        <left style="medium">
          <color indexed="64"/>
        </left>
        <right style="medium">
          <color indexed="64"/>
        </right>
        <top/>
        <bottom/>
      </border>
    </dxf>
    <dxf>
      <font>
        <strike val="0"/>
        <outline val="0"/>
        <shadow val="0"/>
        <u val="none"/>
        <vertAlign val="baseline"/>
        <sz val="10"/>
        <name val="Arial"/>
        <family val="2"/>
        <scheme val="none"/>
      </font>
      <alignment horizontal="center" vertical="center" textRotation="0" wrapText="1" indent="0" justifyLastLine="0" shrinkToFit="0" readingOrder="0"/>
      <border diagonalUp="0" diagonalDown="0" outline="0">
        <left style="medium">
          <color indexed="64"/>
        </left>
        <right/>
        <top style="medium">
          <color indexed="64"/>
        </top>
        <bottom style="medium">
          <color indexed="64"/>
        </bottom>
      </border>
    </dxf>
    <dxf>
      <font>
        <strike val="0"/>
        <outline val="0"/>
        <shadow val="0"/>
        <u val="none"/>
        <vertAlign val="baseline"/>
        <sz val="10"/>
        <name val="Arial"/>
        <family val="2"/>
        <scheme val="none"/>
      </font>
      <alignment horizontal="left"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dxf>
    <dxf>
      <font>
        <b/>
        <strike val="0"/>
        <outline val="0"/>
        <shadow val="0"/>
        <u val="none"/>
        <vertAlign val="baseline"/>
        <sz val="10"/>
        <name val="Arial"/>
        <family val="2"/>
        <scheme val="none"/>
      </font>
      <alignment horizontal="left" vertical="center" textRotation="0" wrapText="1" indent="0" justifyLastLine="0" shrinkToFit="0" readingOrder="0"/>
      <border diagonalUp="0" diagonalDown="0" outline="0">
        <left/>
        <right style="medium">
          <color indexed="64"/>
        </right>
        <top style="medium">
          <color indexed="64"/>
        </top>
        <bottom style="medium">
          <color indexed="64"/>
        </bottom>
      </border>
    </dxf>
    <dxf>
      <font>
        <strike val="0"/>
        <outline val="0"/>
        <shadow val="0"/>
        <u val="none"/>
        <vertAlign val="baseline"/>
        <sz val="10"/>
        <name val="Arial"/>
        <family val="2"/>
        <scheme val="none"/>
      </font>
      <alignment horizontal="center" vertical="center" textRotation="0" wrapText="1" indent="0" justifyLastLine="0" shrinkToFit="0" readingOrder="0"/>
      <border diagonalUp="0" diagonalDown="0" outline="0">
        <left/>
        <right style="medium">
          <color indexed="64"/>
        </right>
        <top style="medium">
          <color indexed="64"/>
        </top>
        <bottom style="medium">
          <color indexed="64"/>
        </bottom>
      </border>
    </dxf>
    <dxf>
      <font>
        <strike val="0"/>
        <outline val="0"/>
        <shadow val="0"/>
        <u val="none"/>
        <vertAlign val="baseline"/>
        <sz val="11"/>
        <color theme="1"/>
        <name val="Carlito"/>
        <scheme val="none"/>
      </font>
      <fill>
        <patternFill patternType="solid">
          <fgColor indexed="64"/>
          <bgColor rgb="FF87E6F9"/>
        </patternFill>
      </fill>
      <alignment horizontal="left" vertical="center" textRotation="0" wrapText="1" indent="0" justifyLastLine="0" shrinkToFit="0" readingOrder="0"/>
      <border diagonalUp="0" diagonalDown="0" outline="0">
        <left style="medium">
          <color indexed="64"/>
        </left>
        <right style="medium">
          <color indexed="64"/>
        </right>
        <top/>
        <bottom/>
      </border>
    </dxf>
    <dxf>
      <border>
        <bottom style="medium">
          <color indexed="64"/>
        </bottom>
      </border>
    </dxf>
    <dxf>
      <font>
        <strike val="0"/>
        <outline val="0"/>
        <shadow val="0"/>
        <u val="none"/>
        <vertAlign val="baseline"/>
        <sz val="10"/>
        <name val="Arial"/>
        <family val="2"/>
        <scheme val="none"/>
      </font>
      <alignment horizontal="left" vertical="top"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dxf>
    <dxf>
      <font>
        <strike val="0"/>
        <outline val="0"/>
        <shadow val="0"/>
        <u val="none"/>
        <vertAlign val="baseline"/>
        <sz val="10"/>
        <name val="Arial"/>
        <family val="2"/>
        <scheme val="none"/>
      </font>
      <numFmt numFmtId="167" formatCode="&quot;$&quot;#,##0.00"/>
      <alignment horizontal="center"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dxf>
    <dxf>
      <font>
        <strike val="0"/>
        <outline val="0"/>
        <shadow val="0"/>
        <u val="none"/>
        <vertAlign val="baseline"/>
        <sz val="10"/>
        <name val="Arial"/>
        <family val="2"/>
        <scheme val="none"/>
      </font>
      <alignment horizontal="left"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dxf>
    <dxf>
      <font>
        <strike val="0"/>
        <outline val="0"/>
        <shadow val="0"/>
        <u val="none"/>
        <vertAlign val="baseline"/>
        <sz val="10"/>
        <name val="Arial"/>
        <family val="2"/>
        <scheme val="none"/>
      </font>
      <numFmt numFmtId="167" formatCode="&quot;$&quot;#,##0.00"/>
      <alignment horizontal="center"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dxf>
    <dxf>
      <font>
        <strike val="0"/>
        <outline val="0"/>
        <shadow val="0"/>
        <u val="none"/>
        <vertAlign val="baseline"/>
        <sz val="10"/>
        <name val="Arial"/>
        <family val="2"/>
        <scheme val="none"/>
      </font>
      <numFmt numFmtId="167" formatCode="&quot;$&quot;#,##0.00"/>
      <alignment horizontal="center"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dxf>
    <dxf>
      <font>
        <strike val="0"/>
        <outline val="0"/>
        <shadow val="0"/>
        <u val="none"/>
        <vertAlign val="baseline"/>
        <sz val="10"/>
        <name val="Arial"/>
        <family val="2"/>
        <scheme val="none"/>
      </font>
      <alignment horizontal="left" vertical="center" textRotation="0" wrapText="1" indent="0" justifyLastLine="0" shrinkToFit="0" readingOrder="0"/>
    </dxf>
    <dxf>
      <font>
        <strike val="0"/>
        <outline val="0"/>
        <shadow val="0"/>
        <u val="none"/>
        <vertAlign val="baseline"/>
        <sz val="10"/>
        <name val="Arial"/>
        <family val="2"/>
        <scheme val="none"/>
      </font>
      <alignment horizontal="left" vertical="center" textRotation="0" wrapText="1" indent="0" justifyLastLine="0" shrinkToFit="0" readingOrder="0"/>
      <border diagonalUp="0" diagonalDown="0" outline="0">
        <left style="medium">
          <color indexed="64"/>
        </left>
        <right style="medium">
          <color indexed="64"/>
        </right>
        <top/>
        <bottom/>
      </border>
    </dxf>
    <dxf>
      <font>
        <strike val="0"/>
        <outline val="0"/>
        <shadow val="0"/>
        <u val="none"/>
        <vertAlign val="baseline"/>
        <sz val="10"/>
        <name val="Arial"/>
        <family val="2"/>
        <scheme val="none"/>
      </font>
      <alignment horizontal="left" vertical="center" textRotation="0" wrapText="1" indent="0" justifyLastLine="0" shrinkToFit="0" readingOrder="0"/>
      <border diagonalUp="0" diagonalDown="0" outline="0">
        <left style="medium">
          <color indexed="64"/>
        </left>
        <right style="medium">
          <color indexed="64"/>
        </right>
        <top style="medium">
          <color indexed="64"/>
        </top>
        <bottom style="medium">
          <color indexed="64"/>
        </bottom>
      </border>
    </dxf>
  </dxfs>
  <tableStyles count="0" defaultTableStyle="TableStyleMedium2" defaultPivotStyle="PivotStyleLight16"/>
  <colors>
    <mruColors>
      <color rgb="FFC2C2C2"/>
      <color rgb="FFDBFFB7"/>
      <color rgb="FFE2FFC5"/>
      <color rgb="FFCCFF99"/>
      <color rgb="FFFFE593"/>
      <color rgb="FFC7C7C7"/>
      <color rgb="FFDEFFBD"/>
      <color rgb="FFFFD44B"/>
      <color rgb="FF87E6F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HVACOptions" displayName="HVACOptions" ref="A1:J5" headerRowDxfId="0" dataDxfId="12" totalsRowDxfId="13">
  <tableColumns count="10">
    <tableColumn id="1" xr3:uid="{00000000-0010-0000-0000-000001000000}" name="Technology Choice" dataDxfId="3"/>
    <tableColumn id="2" xr3:uid="{00000000-0010-0000-0000-000002000000}" name="Technology" dataDxfId="4"/>
    <tableColumn id="3" xr3:uid="{00000000-0010-0000-0000-000003000000}" name="Description" dataDxfId="7"/>
    <tableColumn id="4" xr3:uid="{00000000-0010-0000-0000-000004000000}" name="Unit Price" dataDxfId="11"/>
    <tableColumn id="5" xr3:uid="{00000000-0010-0000-0000-000005000000}" name="Rebate" dataDxfId="10"/>
    <tableColumn id="6" xr3:uid="{00000000-0010-0000-0000-000006000000}" name="Total" dataDxfId="8"/>
    <tableColumn id="7" xr3:uid="{00000000-0010-0000-0000-000007000000}" name="Category" dataDxfId="9"/>
    <tableColumn id="8" xr3:uid="{00000000-0010-0000-0000-000008000000}" name="Source" dataDxfId="14"/>
    <tableColumn id="9" xr3:uid="{00000000-0010-0000-0000-000009000000}" name="Column1" dataDxfId="2"/>
    <tableColumn id="10" xr3:uid="{00000000-0010-0000-0000-00000A000000}" name="Program" dataDxfId="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onstantItems" displayName="ConstantItems" ref="L1:P4" headerRowDxfId="5" headerRowBorderDxfId="6">
  <tableColumns count="5">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 id="5" xr3:uid="{00000000-0010-0000-0100-000005000000}" name="Column5"/>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199"/>
  <sheetViews>
    <sheetView tabSelected="1" workbookViewId="0">
      <selection activeCell="C31" sqref="C31"/>
    </sheetView>
  </sheetViews>
  <sheetFormatPr defaultRowHeight="14.25"/>
  <cols>
    <col min="1" max="1" width="31.75" bestFit="1" customWidth="1"/>
    <col min="2" max="2" width="15.875" bestFit="1" customWidth="1"/>
    <col min="3" max="3" width="105.5" customWidth="1"/>
    <col min="4" max="4" width="11.625" bestFit="1" customWidth="1"/>
    <col min="5" max="5" width="10.875" customWidth="1"/>
    <col min="6" max="6" width="12" customWidth="1"/>
    <col min="7" max="7" width="3.875" customWidth="1"/>
  </cols>
  <sheetData>
    <row r="1" spans="1:26" ht="16.5" thickBot="1">
      <c r="A1" s="51" t="s">
        <v>0</v>
      </c>
      <c r="B1" s="52"/>
      <c r="C1" s="52"/>
      <c r="D1" s="52"/>
      <c r="E1" s="52"/>
      <c r="F1" s="52"/>
      <c r="G1" s="53"/>
      <c r="H1" s="1"/>
      <c r="I1" s="1"/>
      <c r="J1" s="1"/>
      <c r="K1" s="1"/>
      <c r="L1" s="1"/>
      <c r="M1" s="1"/>
      <c r="N1" s="1"/>
      <c r="O1" s="1"/>
      <c r="P1" s="1"/>
      <c r="Q1" s="1"/>
      <c r="R1" s="1"/>
      <c r="S1" s="1"/>
      <c r="T1" s="1"/>
      <c r="U1" s="1"/>
      <c r="V1" s="1"/>
      <c r="W1" s="1"/>
      <c r="X1" s="1"/>
      <c r="Y1" s="1"/>
      <c r="Z1" s="1"/>
    </row>
    <row r="2" spans="1:26" ht="15" thickBot="1">
      <c r="A2" s="5"/>
      <c r="B2" s="5"/>
      <c r="C2" s="5"/>
      <c r="D2" s="5"/>
      <c r="E2" s="5"/>
      <c r="F2" s="5"/>
      <c r="G2" s="5"/>
      <c r="H2" s="1"/>
      <c r="I2" s="1"/>
      <c r="J2" s="1"/>
      <c r="K2" s="1"/>
      <c r="L2" s="1"/>
      <c r="M2" s="1"/>
      <c r="N2" s="1"/>
      <c r="O2" s="1"/>
      <c r="P2" s="1"/>
      <c r="Q2" s="1"/>
      <c r="R2" s="1"/>
      <c r="S2" s="1"/>
      <c r="T2" s="1"/>
      <c r="U2" s="1"/>
      <c r="V2" s="1"/>
      <c r="W2" s="1"/>
      <c r="X2" s="1"/>
      <c r="Y2" s="1"/>
      <c r="Z2" s="1"/>
    </row>
    <row r="3" spans="1:26" ht="15.75" thickBot="1">
      <c r="A3" s="49" t="s">
        <v>104</v>
      </c>
      <c r="B3" s="31"/>
      <c r="C3" s="32"/>
      <c r="D3" s="41"/>
      <c r="E3" s="41"/>
      <c r="F3" s="42"/>
      <c r="G3" s="7"/>
      <c r="H3" s="1"/>
      <c r="I3" s="1"/>
      <c r="J3" s="1"/>
      <c r="K3" s="1"/>
      <c r="L3" s="1"/>
      <c r="M3" s="1"/>
      <c r="N3" s="1"/>
      <c r="O3" s="1"/>
      <c r="P3" s="1"/>
      <c r="Q3" s="1"/>
      <c r="R3" s="1"/>
      <c r="S3" s="1"/>
      <c r="T3" s="1"/>
      <c r="U3" s="1"/>
      <c r="V3" s="1"/>
      <c r="W3" s="1"/>
      <c r="X3" s="1"/>
      <c r="Y3" s="1"/>
      <c r="Z3" s="1"/>
    </row>
    <row r="4" spans="1:26" ht="15.75" thickBot="1">
      <c r="A4" s="49" t="s">
        <v>105</v>
      </c>
      <c r="B4" s="31"/>
      <c r="C4" s="32"/>
      <c r="D4" s="43"/>
      <c r="E4" s="43"/>
      <c r="F4" s="44"/>
      <c r="G4" s="8"/>
      <c r="H4" s="1"/>
      <c r="I4" s="1"/>
      <c r="J4" s="1"/>
      <c r="K4" s="1"/>
      <c r="L4" s="1"/>
      <c r="M4" s="1"/>
      <c r="N4" s="1"/>
      <c r="O4" s="1"/>
      <c r="P4" s="1"/>
      <c r="Q4" s="1"/>
      <c r="R4" s="1"/>
      <c r="S4" s="1"/>
      <c r="T4" s="1"/>
      <c r="U4" s="1"/>
      <c r="V4" s="1"/>
      <c r="W4" s="1"/>
      <c r="X4" s="1"/>
      <c r="Y4" s="1"/>
      <c r="Z4" s="1"/>
    </row>
    <row r="5" spans="1:26" ht="15.75" thickBot="1">
      <c r="A5" s="49" t="s">
        <v>106</v>
      </c>
      <c r="B5" s="31"/>
      <c r="C5" s="32"/>
      <c r="D5" s="45"/>
      <c r="E5" s="45"/>
      <c r="F5" s="46"/>
      <c r="G5" s="8"/>
      <c r="H5" s="1"/>
      <c r="I5" s="1"/>
      <c r="J5" s="1"/>
      <c r="K5" s="1"/>
      <c r="L5" s="1"/>
      <c r="M5" s="1"/>
      <c r="N5" s="1"/>
      <c r="O5" s="1"/>
      <c r="P5" s="1"/>
      <c r="Q5" s="1"/>
      <c r="R5" s="1"/>
      <c r="S5" s="1"/>
      <c r="T5" s="1"/>
      <c r="U5" s="1"/>
      <c r="V5" s="1"/>
      <c r="W5" s="1"/>
      <c r="X5" s="1"/>
      <c r="Y5" s="1"/>
      <c r="Z5" s="1"/>
    </row>
    <row r="6" spans="1:26" ht="15.75" thickBot="1">
      <c r="A6" s="49" t="s">
        <v>107</v>
      </c>
      <c r="B6" s="31"/>
      <c r="C6" s="32"/>
      <c r="D6" s="45"/>
      <c r="E6" s="45"/>
      <c r="F6" s="46"/>
      <c r="G6" s="8"/>
      <c r="H6" s="1"/>
      <c r="I6" s="1"/>
      <c r="J6" s="1"/>
      <c r="K6" s="1"/>
      <c r="L6" s="1"/>
      <c r="M6" s="1"/>
      <c r="N6" s="1"/>
      <c r="O6" s="1"/>
      <c r="P6" s="1"/>
      <c r="Q6" s="1"/>
      <c r="R6" s="1"/>
      <c r="S6" s="1"/>
      <c r="T6" s="1"/>
      <c r="U6" s="1"/>
      <c r="V6" s="1"/>
      <c r="W6" s="1"/>
      <c r="X6" s="1"/>
      <c r="Y6" s="1"/>
      <c r="Z6" s="1"/>
    </row>
    <row r="7" spans="1:26" ht="15.75" thickBot="1">
      <c r="A7" s="49" t="s">
        <v>108</v>
      </c>
      <c r="B7" s="50"/>
      <c r="C7" s="32"/>
      <c r="D7" s="47"/>
      <c r="E7" s="47"/>
      <c r="F7" s="48"/>
      <c r="G7" s="8"/>
      <c r="H7" s="1"/>
      <c r="I7" s="1"/>
      <c r="J7" s="1"/>
      <c r="K7" s="1"/>
      <c r="L7" s="1"/>
      <c r="M7" s="1"/>
      <c r="N7" s="1"/>
      <c r="O7" s="1"/>
      <c r="P7" s="1"/>
      <c r="Q7" s="1"/>
      <c r="R7" s="1"/>
      <c r="S7" s="1"/>
      <c r="T7" s="1"/>
      <c r="U7" s="1"/>
      <c r="V7" s="1"/>
      <c r="W7" s="1"/>
      <c r="X7" s="1"/>
      <c r="Y7" s="1"/>
      <c r="Z7" s="1"/>
    </row>
    <row r="8" spans="1:26" ht="15.75" thickBot="1">
      <c r="A8" s="49" t="s">
        <v>109</v>
      </c>
      <c r="B8" s="57"/>
      <c r="C8" s="40"/>
      <c r="D8" s="33"/>
      <c r="E8" s="34"/>
      <c r="F8" s="35"/>
      <c r="G8" s="8"/>
      <c r="H8" s="1"/>
      <c r="I8" s="1"/>
      <c r="J8" s="1"/>
      <c r="K8" s="1"/>
      <c r="L8" s="1"/>
      <c r="M8" s="1"/>
      <c r="N8" s="1"/>
      <c r="O8" s="1"/>
      <c r="P8" s="1"/>
      <c r="Q8" s="1"/>
      <c r="R8" s="1"/>
      <c r="S8" s="1"/>
      <c r="T8" s="1"/>
      <c r="U8" s="1"/>
      <c r="V8" s="1"/>
      <c r="W8" s="1"/>
      <c r="X8" s="1"/>
      <c r="Y8" s="1"/>
      <c r="Z8" s="1"/>
    </row>
    <row r="9" spans="1:26" ht="15" thickBot="1">
      <c r="A9" s="15"/>
      <c r="B9" s="15"/>
      <c r="C9" s="15"/>
      <c r="D9" s="15"/>
      <c r="E9" s="15"/>
      <c r="F9" s="15"/>
      <c r="G9" s="5"/>
      <c r="H9" s="1"/>
      <c r="I9" s="1"/>
      <c r="J9" s="1"/>
      <c r="K9" s="1"/>
      <c r="L9" s="1"/>
      <c r="M9" s="1"/>
      <c r="N9" s="1"/>
      <c r="O9" s="1"/>
      <c r="P9" s="1"/>
      <c r="Q9" s="1"/>
      <c r="R9" s="1"/>
      <c r="S9" s="1"/>
      <c r="T9" s="1"/>
      <c r="U9" s="1"/>
      <c r="V9" s="1"/>
      <c r="W9" s="1"/>
      <c r="X9" s="1"/>
      <c r="Y9" s="1"/>
      <c r="Z9" s="1"/>
    </row>
    <row r="10" spans="1:26" ht="15.75" thickBot="1">
      <c r="A10" s="54" t="s">
        <v>4</v>
      </c>
      <c r="B10" s="55" t="s">
        <v>5</v>
      </c>
      <c r="C10" s="55" t="s">
        <v>6</v>
      </c>
      <c r="D10" s="55" t="s">
        <v>7</v>
      </c>
      <c r="E10" s="55" t="s">
        <v>8</v>
      </c>
      <c r="F10" s="56" t="s">
        <v>9</v>
      </c>
      <c r="G10" s="14"/>
      <c r="H10" s="1"/>
      <c r="I10" s="1"/>
      <c r="J10" s="1"/>
      <c r="K10" s="1"/>
      <c r="L10" s="1"/>
      <c r="M10" s="1"/>
      <c r="N10" s="1"/>
      <c r="O10" s="1"/>
      <c r="P10" s="1"/>
      <c r="Q10" s="1"/>
      <c r="R10" s="1"/>
      <c r="S10" s="1"/>
      <c r="T10" s="1"/>
      <c r="U10" s="1"/>
      <c r="V10" s="1"/>
      <c r="W10" s="1"/>
      <c r="X10" s="1"/>
      <c r="Y10" s="1"/>
      <c r="Z10" s="1"/>
    </row>
    <row r="11" spans="1:26" ht="156.75" thickBot="1">
      <c r="A11" s="63" t="s">
        <v>10</v>
      </c>
      <c r="B11" s="64" t="str">
        <f>IFERROR(VLOOKUP($A11,'Data Lists'!$A:$H,2,FALSE),"")</f>
        <v>Hot Water Heat Pump</v>
      </c>
      <c r="C11" s="26" t="str">
        <f>IFERROR(VLOOKUP($A11,'Data Lists'!$A:$H,3,FALSE),"")</f>
        <v>AHRI # 217166009
Brand and description: A.O. Smith Signature 900 50-Gallon Hybrid Heat Pump Water Heater
Model # HPSN10-50H45DV 2**
UEF: 3.8
Tank size: 50 gallons
Description of installation labor
Disconnect, remove, and replace the existing water heater with an ENERGY STAR heat pump water heater.
Disposal of removed equipment.
Disconnect existing water and gas or electrical connections and venting, as required.
Install the new water heater as specified in this proposal.
Set the unit in the existing location.
Connect to existing, serviceable water piping, gas or electric supply, temperature and pressure relief piping, and venting if applicable.
Start the unit and verify proper operation upon completion.</v>
      </c>
      <c r="D11" s="69">
        <f>IFERROR(VLOOKUP($A11,'Data Lists'!$A:$H,4,FALSE),"")</f>
        <v>1750</v>
      </c>
      <c r="E11" s="70">
        <f>IFERROR(VLOOKUP($A11,'Data Lists'!$A:$H,5,FALSE),"")</f>
        <v>-1750</v>
      </c>
      <c r="F11" s="61">
        <f>IF($A11="","",IFERROR(VLOOKUP($A11,'Data Lists'!$A:$H,6,FALSE),D11+E11))</f>
        <v>0</v>
      </c>
      <c r="G11" s="24"/>
      <c r="H11" s="6"/>
      <c r="I11" s="1"/>
      <c r="J11" s="1"/>
      <c r="K11" s="1"/>
      <c r="L11" s="1"/>
      <c r="M11" s="1"/>
      <c r="N11" s="1"/>
      <c r="O11" s="1"/>
      <c r="P11" s="1"/>
      <c r="Q11" s="1"/>
      <c r="R11" s="1"/>
      <c r="S11" s="1"/>
      <c r="T11" s="1"/>
      <c r="U11" s="1"/>
      <c r="V11" s="1"/>
      <c r="W11" s="1"/>
      <c r="X11" s="1"/>
      <c r="Y11" s="1"/>
      <c r="Z11" s="1"/>
    </row>
    <row r="12" spans="1:26" ht="48.75" thickBot="1">
      <c r="A12" s="63" t="s">
        <v>11</v>
      </c>
      <c r="B12" s="65" t="str">
        <f>IFERROR(VLOOKUP($A12,'Data Lists'!$A:$H,2,FALSE),"")</f>
        <v>Electrical</v>
      </c>
      <c r="C12" s="27" t="str">
        <f>IFERROR(VLOOKUP($A12,'Data Lists'!$A:$H,3,FALSE),"")</f>
        <v>Detailed description
Materials needed, approximate length of wire: Wires for changing out Water Heater from Gas to Electric
Which qualified upgrade install requires electrical wiring: WH
Description of labor involved: Electrician will be updating panel and upgrades to electrical because of WH</v>
      </c>
      <c r="D12" s="71">
        <f>IFERROR(VLOOKUP($A12,'Data Lists'!$A:$H,4,FALSE),"")</f>
        <v>2000</v>
      </c>
      <c r="E12" s="72">
        <f>IFERROR(VLOOKUP($A12,'Data Lists'!$A:$H,5,FALSE),"")</f>
        <v>-2000</v>
      </c>
      <c r="F12" s="62">
        <f>IF($A12="","",IFERROR(VLOOKUP($A12,'Data Lists'!$A:$H,6,FALSE),D12+E12))</f>
        <v>0</v>
      </c>
      <c r="G12" s="25"/>
      <c r="H12" s="6"/>
      <c r="I12" s="1"/>
      <c r="J12" s="1"/>
      <c r="K12" s="1"/>
      <c r="L12" s="1"/>
      <c r="M12" s="1"/>
      <c r="N12" s="1"/>
      <c r="O12" s="1"/>
      <c r="P12" s="1"/>
      <c r="Q12" s="1"/>
      <c r="R12" s="1"/>
      <c r="S12" s="1"/>
      <c r="T12" s="1"/>
      <c r="U12" s="1"/>
      <c r="V12" s="1"/>
      <c r="W12" s="1"/>
      <c r="X12" s="1"/>
      <c r="Y12" s="1"/>
      <c r="Z12" s="1"/>
    </row>
    <row r="13" spans="1:26" ht="409.6" thickBot="1">
      <c r="A13" s="63" t="s">
        <v>12</v>
      </c>
      <c r="B13" s="65" t="str">
        <f>IFERROR(VLOOKUP($A13,'Data Lists'!$A:$H,2,FALSE),"")</f>
        <v>Energy Star HVAC</v>
      </c>
      <c r="C13" s="27" t="str">
        <f>IFERROR(VLOOKUP($A13,'Data Lists'!$A:$H,3,FALSE),"")</f>
        <v>AHRI - 217016555
York 2 Ton HP ODU R454B. The YC6 models are 16+ SEER2 high-efficiency outdoor HVAC units designed to pair with residential indoor systems for complete home comfort solutions across the U.S. and Canada.
ODU: YH624E2S11
AHU: JHE24B5AC2SS1
Heater Kit: S1-8HK16500506
HSPF2 - 8
SEER2 - 16
EER2 - 12
Heating capacity 24000 BTU
Cooling capacity 24000 BTU
York 2 Ton AHU
Description of install labor
Our Exclusive 1 Year Installation Warranty
Evacuate refrigerant system, removes air and water
Ensure proper amount of freon in AC or HP
Complete inspection upon completion
Remove and dispose used equipment
Ensures proper drainage
Clean up work area before leaving worksite
Sealed connections for greater efficiency
Includes County permit
WIFI Thermostat
10 year compressor warranty
10 year parts warranty
Equipment Pad to stabilize outdoor unit
Equipment selection and sizing per our Heating &amp; Cooling load calculations.
Honeywell smart thermostat. 5” display comes with Equipment Interface Module for 2 wire operation.
Drip pan for air handler/furnace
New return air flex install - R-8 foil backed flex
New supply air flex install - R-8 foil backed flex
New return plenum box made of metal and insulated
New supply plenum distribution box made of metal and insulated
Standard duct work transition
County Permit included
Reconnect indoor equipment to existing electrical
Reconnect outdoor equipment to existing electrical</v>
      </c>
      <c r="D13" s="71">
        <f>IFERROR(VLOOKUP($A13,'Data Lists'!$A:$H,4,FALSE),"")</f>
        <v>14000</v>
      </c>
      <c r="E13" s="72">
        <f>IFERROR(VLOOKUP($A13,'Data Lists'!$A:$H,5,FALSE),"")</f>
        <v>-14000</v>
      </c>
      <c r="F13" s="62">
        <f>IF($A13="","",IFERROR(VLOOKUP($A13,'Data Lists'!$A:$H,6,FALSE),D13+E13))</f>
        <v>0</v>
      </c>
      <c r="G13" s="25"/>
      <c r="H13" s="6"/>
      <c r="I13" s="1"/>
      <c r="J13" s="1"/>
      <c r="K13" s="1"/>
      <c r="L13" s="1"/>
      <c r="M13" s="1"/>
      <c r="N13" s="1"/>
      <c r="O13" s="1"/>
      <c r="P13" s="1"/>
      <c r="Q13" s="1"/>
      <c r="R13" s="1"/>
      <c r="S13" s="1"/>
      <c r="T13" s="1"/>
      <c r="U13" s="1"/>
      <c r="V13" s="1"/>
      <c r="W13" s="1"/>
      <c r="X13" s="1"/>
      <c r="Y13" s="1"/>
      <c r="Z13" s="1"/>
    </row>
    <row r="14" spans="1:26" ht="60.75" thickBot="1">
      <c r="A14" s="63" t="s">
        <v>13</v>
      </c>
      <c r="B14" s="65" t="str">
        <f>IFERROR(VLOOKUP($A14,'Data Lists'!$A:$H,2,FALSE),"")</f>
        <v>Attic Insulation</v>
      </c>
      <c r="C14" s="27" t="str">
        <f>IFERROR(VLOOKUP($A14,'Data Lists'!$A:$H,3,FALSE),"")</f>
        <v>Location of insulation to be installed: Attic
Square feet of area to be insulated: 800 ft²
Type of Energy Star insulation: PINK Next Gen Owens Corning Batt Fiberglass Corning
Current R value: 12.15
Ending R value: 38</v>
      </c>
      <c r="D14" s="71">
        <f>IFERROR(VLOOKUP($A14,'Data Lists'!$A:$H,4,FALSE),"")</f>
        <v>1600</v>
      </c>
      <c r="E14" s="72">
        <f>IFERROR(VLOOKUP($A14,'Data Lists'!$A:$H,5,FALSE),"")</f>
        <v>-1600</v>
      </c>
      <c r="F14" s="62">
        <f>IF($A14="","",IFERROR(VLOOKUP($A14,'Data Lists'!$A:$H,6,FALSE),D14+E14))</f>
        <v>0</v>
      </c>
      <c r="G14" s="25"/>
      <c r="H14" s="6"/>
      <c r="I14" s="1"/>
      <c r="J14" s="1"/>
      <c r="K14" s="1"/>
      <c r="L14" s="1"/>
      <c r="M14" s="1"/>
      <c r="N14" s="1"/>
      <c r="O14" s="1"/>
      <c r="P14" s="1"/>
      <c r="Q14" s="1"/>
      <c r="R14" s="1"/>
      <c r="S14" s="1"/>
      <c r="T14" s="1"/>
      <c r="U14" s="1"/>
      <c r="V14" s="1"/>
      <c r="W14" s="1"/>
      <c r="X14" s="1"/>
      <c r="Y14" s="1"/>
      <c r="Z14" s="1"/>
    </row>
    <row r="15" spans="1:26" ht="24.75" thickBot="1">
      <c r="A15" s="63" t="s">
        <v>14</v>
      </c>
      <c r="B15" s="65" t="str">
        <f>IFERROR(VLOOKUP($A15,'Data Lists'!$A:$H,2,FALSE),"")</f>
        <v>Air Seal</v>
      </c>
      <c r="C15" s="27" t="str">
        <f>IFERROR(VLOOKUP($A15,'Data Lists'!$A:$H,3,FALSE),"")</f>
        <v>List of each air sealing location: Air seal attic electrical, plumbing, walls and top plate penetrations. Attic hatch cover seal &amp; insulation.
Description of labor involved: 1 Day: 2- or 3-hour job</v>
      </c>
      <c r="D15" s="71">
        <f>IFERROR(VLOOKUP($A15,'Data Lists'!$A:$H,4,FALSE),"")</f>
        <v>1000</v>
      </c>
      <c r="E15" s="72">
        <f>IFERROR(VLOOKUP($A15,'Data Lists'!$A:$H,5,FALSE),"")</f>
        <v>-1000</v>
      </c>
      <c r="F15" s="62">
        <f>IF($A15="","",IFERROR(VLOOKUP($A15,'Data Lists'!$A:$H,6,FALSE),D15+E15))</f>
        <v>0</v>
      </c>
      <c r="G15" s="25"/>
      <c r="H15" s="6"/>
      <c r="I15" s="1"/>
      <c r="J15" s="1"/>
      <c r="K15" s="1"/>
      <c r="L15" s="1"/>
      <c r="M15" s="1"/>
      <c r="N15" s="1"/>
      <c r="O15" s="1"/>
      <c r="P15" s="1"/>
      <c r="Q15" s="1"/>
      <c r="R15" s="1"/>
      <c r="S15" s="1"/>
      <c r="T15" s="1"/>
      <c r="U15" s="1"/>
      <c r="V15" s="1"/>
      <c r="W15" s="1"/>
      <c r="X15" s="1"/>
      <c r="Y15" s="1"/>
      <c r="Z15" s="1"/>
    </row>
    <row r="16" spans="1:26" ht="15.75" thickBot="1">
      <c r="A16" s="63"/>
      <c r="B16" s="66" t="str">
        <f>IFERROR(VLOOKUP($A16,'Data Lists'!$A:$H,2,FALSE),"")</f>
        <v/>
      </c>
      <c r="C16" s="28" t="str">
        <f>IFERROR(VLOOKUP($A16,'Data Lists'!$A:$H,3,FALSE),"")</f>
        <v/>
      </c>
      <c r="D16" s="73" t="str">
        <f>IFERROR(VLOOKUP($A16,'Data Lists'!$A:$H,4,FALSE),"")</f>
        <v/>
      </c>
      <c r="E16" s="73" t="str">
        <f>IFERROR(VLOOKUP($A16,'Data Lists'!$A:$H,5,FALSE),"")</f>
        <v/>
      </c>
      <c r="F16" s="62" t="str">
        <f>IF($A16="","",IFERROR(VLOOKUP($A16,'Data Lists'!$A:$H,6,FALSE),D16+E16))</f>
        <v/>
      </c>
      <c r="G16" s="25"/>
      <c r="H16" s="6"/>
      <c r="I16" s="1"/>
      <c r="J16" s="1"/>
      <c r="K16" s="1"/>
      <c r="L16" s="1"/>
      <c r="M16" s="1"/>
      <c r="N16" s="1"/>
      <c r="O16" s="1"/>
      <c r="P16" s="1"/>
      <c r="Q16" s="1"/>
      <c r="R16" s="1"/>
      <c r="S16" s="1"/>
      <c r="T16" s="1"/>
      <c r="U16" s="1"/>
      <c r="V16" s="1"/>
      <c r="W16" s="1"/>
      <c r="X16" s="1"/>
      <c r="Y16" s="1"/>
      <c r="Z16" s="1"/>
    </row>
    <row r="17" spans="1:26" ht="15.75" thickBot="1">
      <c r="A17" s="63"/>
      <c r="B17" s="66" t="str">
        <f>IFERROR(VLOOKUP($A17,'Data Lists'!$A:$H,2,FALSE),"")</f>
        <v/>
      </c>
      <c r="C17" s="28" t="str">
        <f>IFERROR(VLOOKUP($A17,'Data Lists'!$A:$H,3,FALSE),"")</f>
        <v/>
      </c>
      <c r="D17" s="71" t="str">
        <f>IFERROR(VLOOKUP($A17,'Data Lists'!$A:$H,4,FALSE),"")</f>
        <v/>
      </c>
      <c r="E17" s="72" t="str">
        <f>IFERROR(VLOOKUP($A17,'Data Lists'!$A:$H,5,FALSE),"")</f>
        <v/>
      </c>
      <c r="F17" s="62" t="str">
        <f>IF($A17="","",IFERROR(VLOOKUP($A17,'Data Lists'!$A:$H,6,FALSE),D17+E17))</f>
        <v/>
      </c>
      <c r="G17" s="25"/>
      <c r="H17" s="6"/>
      <c r="I17" s="1"/>
      <c r="J17" s="1"/>
      <c r="K17" s="1"/>
      <c r="L17" s="1"/>
      <c r="M17" s="1"/>
      <c r="N17" s="1"/>
      <c r="O17" s="1"/>
      <c r="P17" s="1"/>
      <c r="Q17" s="1"/>
      <c r="R17" s="1"/>
      <c r="S17" s="1"/>
      <c r="T17" s="1"/>
      <c r="U17" s="1"/>
      <c r="V17" s="1"/>
      <c r="W17" s="1"/>
      <c r="X17" s="1"/>
      <c r="Y17" s="1"/>
      <c r="Z17" s="1"/>
    </row>
    <row r="18" spans="1:26" ht="15.75" thickBot="1">
      <c r="A18" s="63"/>
      <c r="B18" s="66" t="str">
        <f>IFERROR(VLOOKUP($A18,'Data Lists'!$A:$H,2,FALSE),"")</f>
        <v/>
      </c>
      <c r="C18" s="28" t="str">
        <f>IFERROR(VLOOKUP($A18,'Data Lists'!$A:$H,3,FALSE),"")</f>
        <v/>
      </c>
      <c r="D18" s="71" t="str">
        <f>IFERROR(VLOOKUP($A18,'Data Lists'!$A:$H,4,FALSE),"")</f>
        <v/>
      </c>
      <c r="E18" s="72" t="str">
        <f>IFERROR(VLOOKUP($A18,'Data Lists'!$A:$H,5,FALSE),"")</f>
        <v/>
      </c>
      <c r="F18" s="62" t="str">
        <f>IF($A18="","",IFERROR(VLOOKUP($A18,'Data Lists'!$A:$H,6,FALSE),D18+E18))</f>
        <v/>
      </c>
      <c r="G18" s="25"/>
      <c r="H18" s="6"/>
      <c r="I18" s="1"/>
      <c r="J18" s="1"/>
      <c r="K18" s="1"/>
      <c r="L18" s="1"/>
      <c r="M18" s="1"/>
      <c r="N18" s="1"/>
      <c r="O18" s="1"/>
      <c r="P18" s="1"/>
      <c r="Q18" s="1"/>
      <c r="R18" s="1"/>
      <c r="S18" s="1"/>
      <c r="T18" s="1"/>
      <c r="U18" s="1"/>
      <c r="V18" s="1"/>
      <c r="W18" s="1"/>
      <c r="X18" s="1"/>
      <c r="Y18" s="1"/>
      <c r="Z18" s="1"/>
    </row>
    <row r="19" spans="1:26" ht="15.75" thickBot="1">
      <c r="A19" s="63"/>
      <c r="B19" s="66" t="str">
        <f>IFERROR(VLOOKUP($A19,'Data Lists'!$A:$H,2,FALSE),"")</f>
        <v/>
      </c>
      <c r="C19" s="28" t="str">
        <f>IFERROR(VLOOKUP($A19,'Data Lists'!$A:$H,3,FALSE),"")</f>
        <v/>
      </c>
      <c r="D19" s="71" t="str">
        <f>IFERROR(VLOOKUP($A19,'Data Lists'!$A:$H,4,FALSE),"")</f>
        <v/>
      </c>
      <c r="E19" s="72" t="str">
        <f>IFERROR(VLOOKUP($A19,'Data Lists'!$A:$H,5,FALSE),"")</f>
        <v/>
      </c>
      <c r="F19" s="62" t="str">
        <f>IF($A19="","",IFERROR(VLOOKUP($A19,'Data Lists'!$A:$H,6,FALSE),D19+E19))</f>
        <v/>
      </c>
      <c r="G19" s="25"/>
      <c r="H19" s="6"/>
      <c r="I19" s="1"/>
      <c r="J19" s="1"/>
      <c r="K19" s="1"/>
      <c r="L19" s="1"/>
      <c r="M19" s="1"/>
      <c r="N19" s="1"/>
      <c r="O19" s="1"/>
      <c r="P19" s="1"/>
      <c r="Q19" s="1"/>
      <c r="R19" s="1"/>
      <c r="S19" s="1"/>
      <c r="T19" s="1"/>
      <c r="U19" s="1"/>
      <c r="V19" s="1"/>
      <c r="W19" s="1"/>
      <c r="X19" s="1"/>
      <c r="Y19" s="1"/>
      <c r="Z19" s="1"/>
    </row>
    <row r="20" spans="1:26" ht="15.75" thickBot="1">
      <c r="A20" s="63"/>
      <c r="B20" s="67" t="str">
        <f>IFERROR(VLOOKUP($A20,'Data Lists'!$A:$H,2,FALSE),"")</f>
        <v/>
      </c>
      <c r="C20" s="29" t="str">
        <f>IFERROR(VLOOKUP($A20,'Data Lists'!$A:$H,3,FALSE),"")</f>
        <v/>
      </c>
      <c r="D20" s="71" t="str">
        <f>IFERROR(VLOOKUP($A20,'Data Lists'!$A:$H,4,FALSE),"")</f>
        <v/>
      </c>
      <c r="E20" s="72" t="str">
        <f>IFERROR(VLOOKUP($A20,'Data Lists'!$A:$H,5,FALSE),"")</f>
        <v/>
      </c>
      <c r="F20" s="62" t="str">
        <f>IF($A20="","",IFERROR(VLOOKUP($A20,'Data Lists'!$A:$H,6,FALSE),D20+E20))</f>
        <v/>
      </c>
      <c r="G20" s="25"/>
      <c r="H20" s="6"/>
      <c r="I20" s="1"/>
      <c r="J20" s="1"/>
      <c r="K20" s="1"/>
      <c r="L20" s="1"/>
      <c r="M20" s="1"/>
      <c r="N20" s="1"/>
      <c r="O20" s="1"/>
      <c r="P20" s="1"/>
      <c r="Q20" s="1"/>
      <c r="R20" s="1"/>
      <c r="S20" s="1"/>
      <c r="T20" s="1"/>
      <c r="U20" s="1"/>
      <c r="V20" s="1"/>
      <c r="W20" s="1"/>
      <c r="X20" s="1"/>
      <c r="Y20" s="1"/>
      <c r="Z20" s="1"/>
    </row>
    <row r="21" spans="1:26" ht="15.75" thickBot="1">
      <c r="A21" s="63"/>
      <c r="B21" s="65" t="str">
        <f>IFERROR(VLOOKUP($A21,'Data Lists'!$A:$H,2,FALSE),"")</f>
        <v/>
      </c>
      <c r="C21" s="29" t="str">
        <f>IFERROR(VLOOKUP($A21,'Data Lists'!$A:$H,3,FALSE),"")</f>
        <v/>
      </c>
      <c r="D21" s="71" t="str">
        <f>IFERROR(VLOOKUP($A21,'Data Lists'!$A:$H,4,FALSE),"")</f>
        <v/>
      </c>
      <c r="E21" s="72" t="str">
        <f>IFERROR(VLOOKUP($A21,'Data Lists'!$A:$H,5,FALSE),"")</f>
        <v/>
      </c>
      <c r="F21" s="62" t="str">
        <f>IF($A21="","",IFERROR(VLOOKUP($A21,'Data Lists'!$A:$H,6,FALSE),D21+E21))</f>
        <v/>
      </c>
      <c r="G21" s="25"/>
      <c r="H21" s="6"/>
      <c r="I21" s="1"/>
      <c r="J21" s="1"/>
      <c r="K21" s="1"/>
      <c r="L21" s="1"/>
      <c r="M21" s="1"/>
      <c r="N21" s="1"/>
      <c r="O21" s="1"/>
      <c r="P21" s="1"/>
      <c r="Q21" s="1"/>
      <c r="R21" s="1"/>
      <c r="S21" s="1"/>
      <c r="T21" s="1"/>
      <c r="U21" s="1"/>
      <c r="V21" s="1"/>
      <c r="W21" s="1"/>
      <c r="X21" s="1"/>
      <c r="Y21" s="1"/>
      <c r="Z21" s="1"/>
    </row>
    <row r="22" spans="1:26" ht="15.75" thickBot="1">
      <c r="A22" s="63"/>
      <c r="B22" s="65" t="str">
        <f>IFERROR(VLOOKUP($A22,'Data Lists'!$A:$H,2,FALSE),"")</f>
        <v/>
      </c>
      <c r="C22" s="29" t="str">
        <f>IFERROR(VLOOKUP($A22,'Data Lists'!$A:$H,3,FALSE),"")</f>
        <v/>
      </c>
      <c r="D22" s="71" t="str">
        <f>IFERROR(VLOOKUP($A22,'Data Lists'!$A:$H,4,FALSE),"")</f>
        <v/>
      </c>
      <c r="E22" s="72" t="str">
        <f>IFERROR(VLOOKUP($A22,'Data Lists'!$A:$H,5,FALSE),"")</f>
        <v/>
      </c>
      <c r="F22" s="62" t="str">
        <f>IF($A22="","",IFERROR(VLOOKUP($A22,'Data Lists'!$A:$H,6,FALSE),D22+E22))</f>
        <v/>
      </c>
      <c r="G22" s="25"/>
      <c r="H22" s="6"/>
      <c r="I22" s="1"/>
      <c r="J22" s="1"/>
      <c r="K22" s="1"/>
      <c r="L22" s="1"/>
      <c r="M22" s="1"/>
      <c r="N22" s="1"/>
      <c r="O22" s="1"/>
      <c r="P22" s="1"/>
      <c r="Q22" s="1"/>
      <c r="R22" s="1"/>
      <c r="S22" s="1"/>
      <c r="T22" s="1"/>
      <c r="U22" s="1"/>
      <c r="V22" s="1"/>
      <c r="W22" s="1"/>
      <c r="X22" s="1"/>
      <c r="Y22" s="1"/>
      <c r="Z22" s="1"/>
    </row>
    <row r="23" spans="1:26" ht="15.75" thickBot="1">
      <c r="A23" s="63"/>
      <c r="B23" s="65" t="str">
        <f>IFERROR(VLOOKUP($A23,'Data Lists'!$A:$H,2,FALSE),"")</f>
        <v/>
      </c>
      <c r="C23" s="29" t="str">
        <f>IFERROR(VLOOKUP($A23,'Data Lists'!$A:$H,3,FALSE),"")</f>
        <v/>
      </c>
      <c r="D23" s="71" t="str">
        <f>IFERROR(VLOOKUP($A23,'Data Lists'!$A:$H,4,FALSE),"")</f>
        <v/>
      </c>
      <c r="E23" s="72" t="str">
        <f>IFERROR(VLOOKUP($A23,'Data Lists'!$A:$H,5,FALSE),"")</f>
        <v/>
      </c>
      <c r="F23" s="62" t="str">
        <f>IF($A23="","",IFERROR(VLOOKUP($A23,'Data Lists'!$A:$H,6,FALSE),D23+E23))</f>
        <v/>
      </c>
      <c r="G23" s="25"/>
      <c r="H23" s="6"/>
      <c r="I23" s="1"/>
      <c r="J23" s="1"/>
      <c r="K23" s="1"/>
      <c r="L23" s="1"/>
      <c r="M23" s="1"/>
      <c r="N23" s="1"/>
      <c r="O23" s="1"/>
      <c r="P23" s="1"/>
      <c r="Q23" s="1"/>
      <c r="R23" s="1"/>
      <c r="S23" s="1"/>
      <c r="T23" s="1"/>
      <c r="U23" s="1"/>
      <c r="V23" s="1"/>
      <c r="W23" s="1"/>
      <c r="X23" s="1"/>
      <c r="Y23" s="1"/>
      <c r="Z23" s="1"/>
    </row>
    <row r="24" spans="1:26" ht="15.75" thickBot="1">
      <c r="A24" s="63"/>
      <c r="B24" s="68" t="str">
        <f>IFERROR(VLOOKUP($A24,'Data Lists'!$A:$H,2,FALSE),"")</f>
        <v/>
      </c>
      <c r="C24" s="30" t="str">
        <f>IFERROR(VLOOKUP($A24,'Data Lists'!$A:$H,3,FALSE),"")</f>
        <v/>
      </c>
      <c r="D24" s="74" t="str">
        <f>IFERROR(VLOOKUP($A24,'Data Lists'!$A:$H,4,FALSE),"")</f>
        <v/>
      </c>
      <c r="E24" s="75" t="str">
        <f>IFERROR(VLOOKUP($A24,'Data Lists'!$A:$H,5,FALSE),"")</f>
        <v/>
      </c>
      <c r="F24" s="76" t="str">
        <f>IF($A24="","",IFERROR(VLOOKUP($A24,'Data Lists'!$A:$H,6,FALSE),D24+E24))</f>
        <v/>
      </c>
      <c r="G24" s="25"/>
      <c r="H24" s="6"/>
      <c r="I24" s="1"/>
      <c r="J24" s="1"/>
      <c r="K24" s="1"/>
      <c r="L24" s="1"/>
      <c r="M24" s="1"/>
      <c r="N24" s="1"/>
      <c r="O24" s="1"/>
      <c r="P24" s="1"/>
      <c r="Q24" s="1"/>
      <c r="R24" s="1"/>
      <c r="S24" s="1"/>
      <c r="T24" s="1"/>
      <c r="U24" s="1"/>
      <c r="V24" s="1"/>
      <c r="W24" s="1"/>
      <c r="X24" s="1"/>
      <c r="Y24" s="1"/>
      <c r="Z24" s="1"/>
    </row>
    <row r="25" spans="1:26" ht="15" thickBot="1">
      <c r="A25" s="15"/>
      <c r="B25" s="15"/>
      <c r="C25" s="15"/>
      <c r="D25" s="16"/>
      <c r="E25" s="16"/>
      <c r="F25" s="16"/>
      <c r="G25" s="5"/>
      <c r="H25" s="1"/>
      <c r="I25" s="1"/>
      <c r="J25" s="1"/>
      <c r="K25" s="1"/>
      <c r="L25" s="1"/>
      <c r="M25" s="1"/>
      <c r="N25" s="1"/>
      <c r="O25" s="1"/>
      <c r="P25" s="1"/>
      <c r="Q25" s="1"/>
      <c r="R25" s="1"/>
      <c r="S25" s="1"/>
      <c r="T25" s="1"/>
      <c r="U25" s="1"/>
      <c r="V25" s="1"/>
      <c r="W25" s="1"/>
      <c r="X25" s="1"/>
      <c r="Y25" s="1"/>
      <c r="Z25" s="1"/>
    </row>
    <row r="26" spans="1:26" ht="15">
      <c r="A26" s="58" t="s">
        <v>8</v>
      </c>
      <c r="B26" s="77">
        <f>SUM(E11:E24)</f>
        <v>-20350</v>
      </c>
      <c r="C26" s="36"/>
      <c r="D26" s="37"/>
      <c r="E26" s="37"/>
      <c r="F26" s="37"/>
      <c r="G26" s="13"/>
      <c r="H26" s="1"/>
      <c r="I26" s="1"/>
      <c r="J26" s="1"/>
      <c r="K26" s="1"/>
      <c r="L26" s="1"/>
      <c r="M26" s="1"/>
      <c r="N26" s="1"/>
      <c r="O26" s="1"/>
      <c r="P26" s="1"/>
      <c r="Q26" s="1"/>
      <c r="R26" s="1"/>
      <c r="S26" s="1"/>
      <c r="T26" s="1"/>
      <c r="U26" s="1"/>
      <c r="V26" s="1"/>
      <c r="W26" s="1"/>
      <c r="X26" s="1"/>
      <c r="Y26" s="1"/>
      <c r="Z26" s="1"/>
    </row>
    <row r="27" spans="1:26" ht="15">
      <c r="A27" s="59" t="s">
        <v>15</v>
      </c>
      <c r="B27" s="78">
        <f>SUM(D11:D24)</f>
        <v>20350</v>
      </c>
      <c r="C27" s="36"/>
      <c r="D27" s="38"/>
      <c r="E27" s="38"/>
      <c r="F27" s="39"/>
      <c r="G27" s="9"/>
      <c r="H27" s="1"/>
      <c r="I27" s="1"/>
      <c r="J27" s="1"/>
      <c r="K27" s="1"/>
      <c r="L27" s="1"/>
      <c r="M27" s="1"/>
      <c r="N27" s="1"/>
      <c r="O27" s="1"/>
      <c r="P27" s="1"/>
      <c r="Q27" s="1"/>
      <c r="R27" s="1"/>
      <c r="S27" s="1"/>
      <c r="T27" s="1"/>
      <c r="U27" s="1"/>
      <c r="V27" s="1"/>
      <c r="W27" s="1"/>
      <c r="X27" s="1"/>
      <c r="Y27" s="1"/>
      <c r="Z27" s="1"/>
    </row>
    <row r="28" spans="1:26" ht="15">
      <c r="A28" s="59" t="s">
        <v>16</v>
      </c>
      <c r="B28" s="78">
        <f>0</f>
        <v>0</v>
      </c>
      <c r="C28" s="36"/>
      <c r="D28" s="38"/>
      <c r="E28" s="38"/>
      <c r="F28" s="39"/>
      <c r="G28" s="9"/>
      <c r="H28" s="1"/>
      <c r="I28" s="1"/>
      <c r="J28" s="1"/>
      <c r="K28" s="1"/>
      <c r="L28" s="1"/>
      <c r="M28" s="1"/>
      <c r="N28" s="1"/>
      <c r="O28" s="1"/>
      <c r="P28" s="1"/>
      <c r="Q28" s="1"/>
      <c r="R28" s="1"/>
      <c r="S28" s="1"/>
      <c r="T28" s="1"/>
      <c r="U28" s="1"/>
      <c r="V28" s="1"/>
      <c r="W28" s="1"/>
      <c r="X28" s="1"/>
      <c r="Y28" s="1"/>
      <c r="Z28" s="1"/>
    </row>
    <row r="29" spans="1:26" ht="15.75" thickBot="1">
      <c r="A29" s="60" t="s">
        <v>17</v>
      </c>
      <c r="B29" s="79">
        <f>SUM(F11:F24)+B28</f>
        <v>0</v>
      </c>
      <c r="C29" s="36"/>
      <c r="D29" s="38"/>
      <c r="E29" s="38"/>
      <c r="F29" s="39"/>
      <c r="G29" s="9"/>
      <c r="H29" s="1"/>
      <c r="I29" s="1"/>
      <c r="J29" s="1"/>
      <c r="K29" s="1"/>
      <c r="L29" s="1"/>
      <c r="M29" s="1"/>
      <c r="N29" s="1"/>
      <c r="O29" s="1"/>
      <c r="P29" s="1"/>
      <c r="Q29" s="1"/>
      <c r="R29" s="1"/>
      <c r="S29" s="1"/>
      <c r="T29" s="1"/>
      <c r="U29" s="1"/>
      <c r="V29" s="1"/>
      <c r="W29" s="1"/>
      <c r="X29" s="1"/>
      <c r="Y29" s="1"/>
      <c r="Z29" s="1"/>
    </row>
    <row r="30" spans="1:26">
      <c r="A30" s="12"/>
      <c r="B30" s="11"/>
      <c r="C30" s="9"/>
      <c r="D30" s="10"/>
      <c r="E30" s="10"/>
      <c r="F30" s="9"/>
      <c r="G30" s="9"/>
      <c r="H30" s="1"/>
      <c r="I30" s="1"/>
      <c r="J30" s="1"/>
      <c r="K30" s="1"/>
      <c r="L30" s="1"/>
      <c r="M30" s="1"/>
      <c r="N30" s="1"/>
      <c r="O30" s="1"/>
      <c r="P30" s="1"/>
      <c r="Q30" s="1"/>
      <c r="R30" s="1"/>
      <c r="S30" s="1"/>
      <c r="T30" s="1"/>
      <c r="U30" s="1"/>
      <c r="V30" s="1"/>
      <c r="W30" s="1"/>
      <c r="X30" s="1"/>
      <c r="Y30" s="1"/>
      <c r="Z30" s="1"/>
    </row>
    <row r="31" spans="1:26">
      <c r="A31" s="3"/>
      <c r="B31" s="3"/>
      <c r="C31" s="3"/>
      <c r="D31" s="3"/>
      <c r="E31" s="3"/>
      <c r="F31" s="3"/>
      <c r="G31" s="3"/>
      <c r="H31" s="1"/>
      <c r="I31" s="1"/>
      <c r="J31" s="1"/>
      <c r="K31" s="1"/>
      <c r="L31" s="1"/>
      <c r="M31" s="1"/>
      <c r="N31" s="1"/>
      <c r="O31" s="1"/>
      <c r="P31" s="1"/>
      <c r="Q31" s="1"/>
      <c r="R31" s="1"/>
      <c r="S31" s="1"/>
      <c r="T31" s="1"/>
      <c r="U31" s="1"/>
      <c r="V31" s="1"/>
      <c r="W31" s="1"/>
      <c r="X31" s="1"/>
      <c r="Y31" s="1"/>
      <c r="Z31" s="1"/>
    </row>
    <row r="32" spans="1:26">
      <c r="A32" s="3"/>
      <c r="B32" s="3"/>
      <c r="C32" s="3"/>
      <c r="D32" s="3"/>
      <c r="E32" s="3"/>
      <c r="F32" s="3"/>
      <c r="G32" s="3"/>
      <c r="H32" s="1"/>
      <c r="I32" s="1"/>
      <c r="J32" s="1"/>
      <c r="K32" s="1"/>
      <c r="L32" s="1"/>
      <c r="M32" s="1"/>
      <c r="N32" s="1"/>
      <c r="O32" s="1"/>
      <c r="P32" s="1"/>
      <c r="Q32" s="1"/>
      <c r="R32" s="1"/>
      <c r="S32" s="1"/>
      <c r="T32" s="1"/>
      <c r="U32" s="1"/>
      <c r="V32" s="1"/>
      <c r="W32" s="1"/>
      <c r="X32" s="1"/>
      <c r="Y32" s="1"/>
      <c r="Z32" s="1"/>
    </row>
    <row r="33" spans="1:26">
      <c r="A33" s="3"/>
      <c r="B33" s="3"/>
      <c r="C33" s="3"/>
      <c r="D33" s="3"/>
      <c r="E33" s="3"/>
      <c r="F33" s="3"/>
      <c r="G33" s="3"/>
      <c r="H33" s="1"/>
      <c r="I33" s="1"/>
      <c r="J33" s="1"/>
      <c r="K33" s="1"/>
      <c r="L33" s="1"/>
      <c r="M33" s="1"/>
      <c r="N33" s="1"/>
      <c r="O33" s="1"/>
      <c r="P33" s="1"/>
      <c r="Q33" s="1"/>
      <c r="R33" s="1"/>
      <c r="S33" s="1"/>
      <c r="T33" s="1"/>
      <c r="U33" s="1"/>
      <c r="V33" s="1"/>
      <c r="W33" s="1"/>
      <c r="X33" s="1"/>
      <c r="Y33" s="1"/>
      <c r="Z33" s="1"/>
    </row>
    <row r="34" spans="1:26">
      <c r="A34" s="3"/>
      <c r="B34" s="3"/>
      <c r="C34" s="3"/>
      <c r="D34" s="3"/>
      <c r="E34" s="3"/>
      <c r="F34" s="3"/>
      <c r="G34" s="3"/>
      <c r="H34" s="1"/>
      <c r="I34" s="1"/>
      <c r="J34" s="1"/>
      <c r="K34" s="1"/>
      <c r="L34" s="1"/>
      <c r="M34" s="1"/>
      <c r="N34" s="1"/>
      <c r="O34" s="1"/>
      <c r="P34" s="1"/>
      <c r="Q34" s="1"/>
      <c r="R34" s="1"/>
      <c r="S34" s="1"/>
      <c r="T34" s="1"/>
      <c r="U34" s="1"/>
      <c r="V34" s="1"/>
      <c r="W34" s="1"/>
      <c r="X34" s="1"/>
      <c r="Y34" s="1"/>
      <c r="Z34" s="1"/>
    </row>
    <row r="35" spans="1:26">
      <c r="A35" s="3"/>
      <c r="B35" s="3"/>
      <c r="C35" s="3"/>
      <c r="D35" s="3"/>
      <c r="E35" s="3"/>
      <c r="F35" s="3"/>
      <c r="G35" s="3"/>
      <c r="H35" s="1"/>
      <c r="I35" s="1"/>
      <c r="J35" s="1"/>
      <c r="K35" s="1"/>
      <c r="L35" s="1"/>
      <c r="M35" s="1"/>
      <c r="N35" s="1"/>
      <c r="O35" s="1"/>
      <c r="P35" s="1"/>
      <c r="Q35" s="1"/>
      <c r="R35" s="1"/>
      <c r="S35" s="1"/>
      <c r="T35" s="1"/>
      <c r="U35" s="1"/>
      <c r="V35" s="1"/>
      <c r="W35" s="1"/>
      <c r="X35" s="1"/>
      <c r="Y35" s="1"/>
      <c r="Z35" s="1"/>
    </row>
    <row r="36" spans="1:26">
      <c r="A36" s="3"/>
      <c r="B36" s="3"/>
      <c r="C36" s="3"/>
      <c r="D36" s="3"/>
      <c r="E36" s="3"/>
      <c r="F36" s="3"/>
      <c r="G36" s="3"/>
      <c r="H36" s="1"/>
      <c r="I36" s="1"/>
      <c r="J36" s="1"/>
      <c r="K36" s="1"/>
      <c r="L36" s="1"/>
      <c r="M36" s="1"/>
      <c r="N36" s="1"/>
      <c r="O36" s="1"/>
      <c r="P36" s="1"/>
      <c r="Q36" s="1"/>
      <c r="R36" s="1"/>
      <c r="S36" s="1"/>
      <c r="T36" s="1"/>
      <c r="U36" s="1"/>
      <c r="V36" s="1"/>
      <c r="W36" s="1"/>
      <c r="X36" s="1"/>
      <c r="Y36" s="1"/>
      <c r="Z36" s="1"/>
    </row>
    <row r="37" spans="1:26">
      <c r="A37" s="3"/>
      <c r="B37" s="3"/>
      <c r="C37" s="3"/>
      <c r="D37" s="3"/>
      <c r="E37" s="3"/>
      <c r="F37" s="3"/>
      <c r="G37" s="3"/>
      <c r="H37" s="1"/>
      <c r="I37" s="1"/>
      <c r="J37" s="1"/>
      <c r="K37" s="1"/>
      <c r="L37" s="1"/>
      <c r="M37" s="1"/>
      <c r="N37" s="1"/>
      <c r="O37" s="1"/>
      <c r="P37" s="1"/>
      <c r="Q37" s="1"/>
      <c r="R37" s="1"/>
      <c r="S37" s="1"/>
      <c r="T37" s="1"/>
      <c r="U37" s="1"/>
      <c r="V37" s="1"/>
      <c r="W37" s="1"/>
      <c r="X37" s="1"/>
      <c r="Y37" s="1"/>
      <c r="Z37" s="1"/>
    </row>
    <row r="38" spans="1:26">
      <c r="A38" s="3"/>
      <c r="B38" s="3"/>
      <c r="C38" s="3"/>
      <c r="D38" s="3"/>
      <c r="E38" s="3"/>
      <c r="F38" s="3"/>
      <c r="G38" s="3"/>
      <c r="H38" s="1"/>
      <c r="I38" s="1"/>
      <c r="J38" s="1"/>
      <c r="K38" s="1"/>
      <c r="L38" s="1"/>
      <c r="M38" s="1"/>
      <c r="N38" s="1"/>
      <c r="O38" s="1"/>
      <c r="P38" s="1"/>
      <c r="Q38" s="1"/>
      <c r="R38" s="1"/>
      <c r="S38" s="1"/>
      <c r="T38" s="1"/>
      <c r="U38" s="1"/>
      <c r="V38" s="1"/>
      <c r="W38" s="1"/>
      <c r="X38" s="1"/>
      <c r="Y38" s="1"/>
      <c r="Z38" s="1"/>
    </row>
    <row r="39" spans="1:26">
      <c r="A39" s="3"/>
      <c r="B39" s="3"/>
      <c r="C39" s="3"/>
      <c r="D39" s="3"/>
      <c r="E39" s="3"/>
      <c r="F39" s="3"/>
      <c r="G39" s="3"/>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sheetData>
  <mergeCells count="8">
    <mergeCell ref="E8:F8"/>
    <mergeCell ref="B7:C7"/>
    <mergeCell ref="A1:G1"/>
    <mergeCell ref="B6:C6"/>
    <mergeCell ref="B5:C5"/>
    <mergeCell ref="B4:C4"/>
    <mergeCell ref="B3:C3"/>
    <mergeCell ref="D4:E4"/>
  </mergeCells>
  <pageMargins left="0.7" right="0.7" top="0.75" bottom="0.75" header="0.3" footer="0.3"/>
  <extLst>
    <ext xmlns:x14="http://schemas.microsoft.com/office/spreadsheetml/2009/9/main" uri="{CCE6A557-97BC-4b89-ADB6-D9C93CAAB3DF}">
      <x14:dataValidations xmlns:xm="http://schemas.microsoft.com/office/excel/2006/main" count="2">
        <x14:dataValidation type="list" xr:uid="{00000000-0002-0000-0000-000000000000}">
          <x14:formula1>
            <xm:f>'Data Lists'!$J$2:$J$3</xm:f>
          </x14:formula1>
          <xm:sqref>B8</xm:sqref>
        </x14:dataValidation>
        <x14:dataValidation type="list" xr:uid="{00000000-0002-0000-0000-000001000000}">
          <x14:formula1>
            <xm:f>'Data Lists'!$A$2:$A$24</xm:f>
          </x14:formula1>
          <xm:sqref>A11:A24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Z200"/>
  <sheetViews>
    <sheetView workbookViewId="0">
      <selection activeCell="N6" sqref="N6"/>
    </sheetView>
  </sheetViews>
  <sheetFormatPr defaultRowHeight="14.25"/>
  <cols>
    <col min="1" max="1" width="50.25" customWidth="1"/>
    <col min="2" max="2" width="26" customWidth="1"/>
    <col min="3" max="3" width="54" customWidth="1"/>
    <col min="4" max="6" width="14" customWidth="1"/>
    <col min="7" max="7" width="22" customWidth="1"/>
    <col min="8" max="8" width="34" customWidth="1"/>
    <col min="9" max="9" width="20" customWidth="1"/>
    <col min="10" max="10" width="18" customWidth="1"/>
    <col min="14" max="14" width="80" customWidth="1"/>
  </cols>
  <sheetData>
    <row r="1" spans="1:26" ht="21.95" customHeight="1" thickBot="1">
      <c r="A1" s="17" t="s">
        <v>18</v>
      </c>
      <c r="B1" s="17" t="s">
        <v>19</v>
      </c>
      <c r="C1" s="17" t="s">
        <v>20</v>
      </c>
      <c r="D1" s="17" t="s">
        <v>21</v>
      </c>
      <c r="E1" s="17" t="s">
        <v>22</v>
      </c>
      <c r="F1" s="17" t="s">
        <v>23</v>
      </c>
      <c r="G1" s="17" t="s">
        <v>24</v>
      </c>
      <c r="H1" s="17" t="s">
        <v>25</v>
      </c>
      <c r="I1" s="17" t="s">
        <v>99</v>
      </c>
      <c r="J1" s="17" t="s">
        <v>1</v>
      </c>
      <c r="K1" s="4"/>
      <c r="L1" s="22" t="s">
        <v>99</v>
      </c>
      <c r="M1" s="22" t="s">
        <v>100</v>
      </c>
      <c r="N1" s="22" t="s">
        <v>101</v>
      </c>
      <c r="O1" s="22" t="s">
        <v>102</v>
      </c>
      <c r="P1" s="22" t="s">
        <v>103</v>
      </c>
      <c r="Q1" s="1"/>
      <c r="R1" s="2"/>
      <c r="S1" s="1"/>
      <c r="T1" s="1"/>
      <c r="U1" s="1"/>
      <c r="V1" s="1"/>
      <c r="W1" s="1"/>
      <c r="X1" s="1"/>
      <c r="Y1" s="1"/>
      <c r="Z1" s="1"/>
    </row>
    <row r="2" spans="1:26" ht="80.099999999999994" customHeight="1" thickBot="1">
      <c r="A2" s="23" t="s">
        <v>10</v>
      </c>
      <c r="B2" s="21" t="s">
        <v>26</v>
      </c>
      <c r="C2" s="19" t="s">
        <v>27</v>
      </c>
      <c r="D2" s="20">
        <v>1750</v>
      </c>
      <c r="E2" s="20">
        <v>-1750</v>
      </c>
      <c r="F2" s="20">
        <v>0</v>
      </c>
      <c r="G2" s="18" t="s">
        <v>28</v>
      </c>
      <c r="H2" s="18" t="s">
        <v>29</v>
      </c>
      <c r="I2" s="18"/>
      <c r="J2" s="21" t="s">
        <v>2</v>
      </c>
      <c r="K2" s="1"/>
      <c r="L2" s="1"/>
      <c r="M2" s="1"/>
      <c r="N2" s="1"/>
      <c r="O2" s="1"/>
      <c r="P2" s="1"/>
      <c r="Q2" s="1"/>
      <c r="R2" s="1"/>
      <c r="S2" s="1"/>
      <c r="T2" s="1"/>
      <c r="U2" s="1"/>
      <c r="V2" s="1"/>
      <c r="W2" s="1"/>
      <c r="X2" s="1"/>
      <c r="Y2" s="1"/>
      <c r="Z2" s="1"/>
    </row>
    <row r="3" spans="1:26" ht="80.099999999999994" customHeight="1" thickBot="1">
      <c r="A3" s="23" t="s">
        <v>30</v>
      </c>
      <c r="B3" s="21" t="s">
        <v>26</v>
      </c>
      <c r="C3" s="19" t="s">
        <v>31</v>
      </c>
      <c r="D3" s="20">
        <v>4000</v>
      </c>
      <c r="E3" s="20">
        <v>-1750</v>
      </c>
      <c r="F3" s="20">
        <v>2240</v>
      </c>
      <c r="G3" s="18" t="s">
        <v>32</v>
      </c>
      <c r="H3" s="18" t="s">
        <v>33</v>
      </c>
      <c r="I3" s="18"/>
      <c r="J3" s="21" t="s">
        <v>34</v>
      </c>
      <c r="K3" s="1"/>
      <c r="L3" s="1"/>
      <c r="M3" s="1"/>
      <c r="N3" s="1"/>
      <c r="O3" s="1"/>
      <c r="P3" s="1"/>
      <c r="Q3" s="1"/>
      <c r="R3" s="1"/>
      <c r="S3" s="1"/>
      <c r="T3" s="1"/>
      <c r="U3" s="1"/>
      <c r="V3" s="1"/>
      <c r="W3" s="1"/>
      <c r="X3" s="1"/>
      <c r="Y3" s="1"/>
      <c r="Z3" s="1"/>
    </row>
    <row r="4" spans="1:26" ht="80.099999999999994" customHeight="1" thickBot="1">
      <c r="A4" s="23" t="s">
        <v>11</v>
      </c>
      <c r="B4" s="21" t="s">
        <v>35</v>
      </c>
      <c r="C4" s="19" t="s">
        <v>36</v>
      </c>
      <c r="D4" s="20">
        <v>2000</v>
      </c>
      <c r="E4" s="20">
        <v>-2000</v>
      </c>
      <c r="F4" s="20">
        <v>0</v>
      </c>
      <c r="G4" s="18" t="s">
        <v>37</v>
      </c>
      <c r="H4" s="18" t="s">
        <v>38</v>
      </c>
      <c r="I4" s="18"/>
      <c r="J4" s="21"/>
      <c r="K4" s="1"/>
      <c r="L4" s="1"/>
      <c r="M4" s="1"/>
      <c r="N4" s="1"/>
      <c r="O4" s="1"/>
      <c r="P4" s="1"/>
      <c r="Q4" s="1"/>
      <c r="R4" s="1"/>
      <c r="S4" s="1"/>
      <c r="T4" s="1"/>
      <c r="U4" s="1"/>
      <c r="V4" s="1"/>
      <c r="W4" s="1"/>
      <c r="X4" s="1"/>
      <c r="Y4" s="1"/>
      <c r="Z4" s="1"/>
    </row>
    <row r="5" spans="1:26" ht="80.099999999999994" customHeight="1" thickBot="1">
      <c r="A5" s="23" t="s">
        <v>39</v>
      </c>
      <c r="B5" s="21" t="s">
        <v>35</v>
      </c>
      <c r="C5" s="19" t="s">
        <v>40</v>
      </c>
      <c r="D5" s="20">
        <v>2500</v>
      </c>
      <c r="E5" s="20">
        <v>-2500</v>
      </c>
      <c r="F5" s="20">
        <v>0</v>
      </c>
      <c r="G5" s="18" t="s">
        <v>37</v>
      </c>
      <c r="H5" s="18" t="s">
        <v>41</v>
      </c>
      <c r="I5" s="18"/>
      <c r="J5" s="21"/>
      <c r="K5" s="1"/>
      <c r="L5" s="1"/>
      <c r="M5" s="1"/>
      <c r="N5" s="1"/>
      <c r="O5" s="1"/>
      <c r="P5" s="1"/>
      <c r="Q5" s="1"/>
      <c r="R5" s="1"/>
      <c r="S5" s="1"/>
      <c r="T5" s="1"/>
      <c r="U5" s="1"/>
      <c r="V5" s="1"/>
      <c r="W5" s="1"/>
      <c r="X5" s="1"/>
      <c r="Y5" s="1"/>
      <c r="Z5" s="1"/>
    </row>
    <row r="6" spans="1:26" ht="80.099999999999994" customHeight="1" thickBot="1">
      <c r="A6" s="23" t="s">
        <v>42</v>
      </c>
      <c r="B6" s="21" t="s">
        <v>43</v>
      </c>
      <c r="C6" s="19" t="s">
        <v>44</v>
      </c>
      <c r="D6" s="20">
        <v>3250</v>
      </c>
      <c r="E6" s="20">
        <v>-3250</v>
      </c>
      <c r="F6" s="20">
        <v>0</v>
      </c>
      <c r="G6" s="18" t="s">
        <v>37</v>
      </c>
      <c r="H6" s="18" t="s">
        <v>45</v>
      </c>
      <c r="I6" s="18"/>
      <c r="J6" s="21"/>
      <c r="K6" s="1"/>
      <c r="L6" s="1"/>
      <c r="M6" s="1"/>
      <c r="N6" s="1"/>
      <c r="O6" s="1"/>
      <c r="P6" s="1"/>
      <c r="Q6" s="1"/>
      <c r="R6" s="1"/>
      <c r="S6" s="1"/>
      <c r="T6" s="1"/>
      <c r="U6" s="1"/>
      <c r="V6" s="1"/>
      <c r="W6" s="1"/>
      <c r="X6" s="1"/>
      <c r="Y6" s="1"/>
      <c r="Z6" s="1"/>
    </row>
    <row r="7" spans="1:26" ht="80.099999999999994" customHeight="1" thickBot="1">
      <c r="A7" s="23" t="s">
        <v>13</v>
      </c>
      <c r="B7" s="21" t="s">
        <v>46</v>
      </c>
      <c r="C7" s="19" t="s">
        <v>47</v>
      </c>
      <c r="D7" s="20">
        <v>1600</v>
      </c>
      <c r="E7" s="20">
        <v>-1600</v>
      </c>
      <c r="F7" s="20">
        <v>0</v>
      </c>
      <c r="G7" s="18" t="s">
        <v>48</v>
      </c>
      <c r="H7" s="18" t="s">
        <v>38</v>
      </c>
      <c r="I7" s="18"/>
      <c r="J7" s="21"/>
      <c r="K7" s="1"/>
      <c r="L7" s="1"/>
      <c r="M7" s="1"/>
      <c r="N7" s="1"/>
      <c r="O7" s="1"/>
      <c r="P7" s="1"/>
      <c r="Q7" s="1"/>
      <c r="R7" s="1"/>
      <c r="S7" s="1"/>
      <c r="T7" s="1"/>
      <c r="U7" s="1"/>
      <c r="V7" s="1"/>
      <c r="W7" s="1"/>
      <c r="X7" s="1"/>
      <c r="Y7" s="1"/>
      <c r="Z7" s="1"/>
    </row>
    <row r="8" spans="1:26" ht="80.099999999999994" customHeight="1" thickBot="1">
      <c r="A8" s="23" t="s">
        <v>49</v>
      </c>
      <c r="B8" s="21" t="s">
        <v>46</v>
      </c>
      <c r="C8" s="19" t="s">
        <v>50</v>
      </c>
      <c r="D8" s="20">
        <v>1600</v>
      </c>
      <c r="E8" s="20">
        <v>-1600</v>
      </c>
      <c r="F8" s="20">
        <v>0</v>
      </c>
      <c r="G8" s="18" t="s">
        <v>51</v>
      </c>
      <c r="H8" s="18" t="s">
        <v>33</v>
      </c>
      <c r="I8" s="18"/>
      <c r="J8" s="21"/>
      <c r="K8" s="1"/>
      <c r="L8" s="1"/>
      <c r="M8" s="1"/>
      <c r="N8" s="1"/>
      <c r="O8" s="1"/>
      <c r="P8" s="1"/>
      <c r="Q8" s="1"/>
      <c r="R8" s="1"/>
      <c r="S8" s="1"/>
      <c r="T8" s="1"/>
      <c r="U8" s="1"/>
      <c r="V8" s="1"/>
      <c r="W8" s="1"/>
      <c r="X8" s="1"/>
      <c r="Y8" s="1"/>
      <c r="Z8" s="1"/>
    </row>
    <row r="9" spans="1:26" ht="80.099999999999994" customHeight="1" thickBot="1">
      <c r="A9" s="23" t="s">
        <v>52</v>
      </c>
      <c r="B9" s="21" t="s">
        <v>46</v>
      </c>
      <c r="C9" s="19" t="s">
        <v>53</v>
      </c>
      <c r="D9" s="20">
        <v>1600</v>
      </c>
      <c r="E9" s="20">
        <v>-1600</v>
      </c>
      <c r="F9" s="20">
        <v>0</v>
      </c>
      <c r="G9" s="18" t="s">
        <v>51</v>
      </c>
      <c r="H9" s="18" t="s">
        <v>54</v>
      </c>
      <c r="I9" s="18"/>
      <c r="J9" s="21"/>
      <c r="K9" s="1"/>
      <c r="L9" s="1"/>
      <c r="M9" s="1"/>
      <c r="N9" s="1"/>
      <c r="O9" s="1"/>
      <c r="P9" s="1"/>
      <c r="Q9" s="1"/>
      <c r="R9" s="1"/>
      <c r="S9" s="1"/>
      <c r="T9" s="1"/>
      <c r="U9" s="1"/>
      <c r="V9" s="1"/>
      <c r="W9" s="1"/>
      <c r="X9" s="1"/>
      <c r="Y9" s="1"/>
      <c r="Z9" s="1"/>
    </row>
    <row r="10" spans="1:26" ht="80.099999999999994" customHeight="1" thickBot="1">
      <c r="A10" s="23" t="s">
        <v>55</v>
      </c>
      <c r="B10" s="21" t="s">
        <v>56</v>
      </c>
      <c r="C10" s="19" t="s">
        <v>57</v>
      </c>
      <c r="D10" s="20">
        <v>2000</v>
      </c>
      <c r="E10" s="20">
        <v>-2000</v>
      </c>
      <c r="F10" s="20">
        <v>0</v>
      </c>
      <c r="G10" s="18" t="s">
        <v>58</v>
      </c>
      <c r="H10" s="18" t="s">
        <v>59</v>
      </c>
      <c r="I10" s="18"/>
      <c r="J10" s="21"/>
      <c r="K10" s="1"/>
      <c r="L10" s="1"/>
      <c r="M10" s="1"/>
      <c r="N10" s="1"/>
      <c r="O10" s="1"/>
      <c r="P10" s="1"/>
      <c r="Q10" s="1"/>
      <c r="R10" s="1"/>
      <c r="S10" s="1"/>
      <c r="T10" s="1"/>
      <c r="U10" s="1"/>
      <c r="V10" s="1"/>
      <c r="W10" s="1"/>
      <c r="X10" s="1"/>
      <c r="Y10" s="1"/>
      <c r="Z10" s="1"/>
    </row>
    <row r="11" spans="1:26" ht="80.099999999999994" customHeight="1" thickBot="1">
      <c r="A11" s="23" t="s">
        <v>60</v>
      </c>
      <c r="B11" s="21" t="s">
        <v>56</v>
      </c>
      <c r="C11" s="19" t="s">
        <v>61</v>
      </c>
      <c r="D11" s="20">
        <v>2250</v>
      </c>
      <c r="E11" s="20">
        <v>-2250</v>
      </c>
      <c r="F11" s="20">
        <v>0</v>
      </c>
      <c r="G11" s="18" t="s">
        <v>62</v>
      </c>
      <c r="H11" s="18" t="s">
        <v>63</v>
      </c>
      <c r="I11" s="18"/>
      <c r="J11" s="21"/>
      <c r="K11" s="1"/>
      <c r="L11" s="1"/>
      <c r="M11" s="1"/>
      <c r="N11" s="1"/>
      <c r="O11" s="1"/>
      <c r="P11" s="1"/>
      <c r="Q11" s="1"/>
      <c r="R11" s="1"/>
      <c r="S11" s="1"/>
      <c r="T11" s="1"/>
      <c r="U11" s="1"/>
      <c r="V11" s="1"/>
      <c r="W11" s="1"/>
      <c r="X11" s="1"/>
      <c r="Y11" s="1"/>
      <c r="Z11" s="1"/>
    </row>
    <row r="12" spans="1:26" ht="39" thickBot="1">
      <c r="A12" s="23" t="s">
        <v>14</v>
      </c>
      <c r="B12" s="21" t="s">
        <v>64</v>
      </c>
      <c r="C12" s="19" t="s">
        <v>65</v>
      </c>
      <c r="D12" s="20">
        <v>1000</v>
      </c>
      <c r="E12" s="20">
        <v>-1000</v>
      </c>
      <c r="F12" s="20">
        <v>0</v>
      </c>
      <c r="G12" s="18" t="s">
        <v>66</v>
      </c>
      <c r="H12" s="18" t="s">
        <v>38</v>
      </c>
      <c r="I12" s="18"/>
      <c r="J12" s="21"/>
      <c r="K12" s="1"/>
      <c r="L12" s="1"/>
      <c r="M12" s="1"/>
      <c r="N12" s="1"/>
      <c r="O12" s="1"/>
      <c r="P12" s="1"/>
      <c r="Q12" s="1"/>
      <c r="R12" s="1"/>
      <c r="S12" s="1"/>
      <c r="T12" s="1"/>
      <c r="U12" s="1"/>
      <c r="V12" s="1"/>
      <c r="W12" s="1"/>
      <c r="X12" s="1"/>
      <c r="Y12" s="1"/>
      <c r="Z12" s="1"/>
    </row>
    <row r="13" spans="1:26" ht="26.25" thickBot="1">
      <c r="A13" s="23" t="s">
        <v>67</v>
      </c>
      <c r="B13" s="21" t="s">
        <v>68</v>
      </c>
      <c r="C13" s="19" t="s">
        <v>69</v>
      </c>
      <c r="D13" s="20">
        <v>840</v>
      </c>
      <c r="E13" s="20">
        <v>-840</v>
      </c>
      <c r="F13" s="20">
        <v>0</v>
      </c>
      <c r="G13" s="18" t="s">
        <v>32</v>
      </c>
      <c r="H13" s="18" t="s">
        <v>70</v>
      </c>
      <c r="I13" s="18"/>
      <c r="J13" s="21"/>
      <c r="K13" s="1"/>
      <c r="L13" s="1"/>
      <c r="M13" s="1"/>
      <c r="N13" s="1"/>
      <c r="O13" s="1"/>
      <c r="P13" s="1"/>
      <c r="Q13" s="1"/>
      <c r="R13" s="1"/>
      <c r="S13" s="1"/>
      <c r="T13" s="1"/>
      <c r="U13" s="1"/>
      <c r="V13" s="1"/>
      <c r="W13" s="1"/>
      <c r="X13" s="1"/>
      <c r="Y13" s="1"/>
      <c r="Z13" s="1"/>
    </row>
    <row r="14" spans="1:26" ht="80.099999999999994" customHeight="1" thickBot="1">
      <c r="A14" s="23" t="s">
        <v>12</v>
      </c>
      <c r="B14" s="21" t="s">
        <v>71</v>
      </c>
      <c r="C14" s="19" t="s">
        <v>72</v>
      </c>
      <c r="D14" s="20">
        <v>14000</v>
      </c>
      <c r="E14" s="20">
        <v>-14000</v>
      </c>
      <c r="F14" s="20">
        <v>0</v>
      </c>
      <c r="G14" s="18" t="s">
        <v>73</v>
      </c>
      <c r="H14" s="18" t="s">
        <v>74</v>
      </c>
      <c r="I14" s="18"/>
      <c r="J14" s="21"/>
      <c r="K14" s="1"/>
      <c r="L14" s="1"/>
      <c r="M14" s="1"/>
      <c r="N14" s="1"/>
      <c r="O14" s="1"/>
      <c r="P14" s="1"/>
      <c r="Q14" s="1"/>
      <c r="R14" s="1"/>
      <c r="S14" s="1"/>
      <c r="T14" s="1"/>
      <c r="U14" s="1"/>
      <c r="V14" s="1"/>
      <c r="W14" s="1"/>
      <c r="X14" s="1"/>
      <c r="Y14" s="1"/>
      <c r="Z14" s="1"/>
    </row>
    <row r="15" spans="1:26" ht="75" customHeight="1" thickBot="1">
      <c r="A15" s="23" t="s">
        <v>3</v>
      </c>
      <c r="B15" s="21" t="s">
        <v>71</v>
      </c>
      <c r="C15" s="19" t="s">
        <v>75</v>
      </c>
      <c r="D15" s="20">
        <v>15000</v>
      </c>
      <c r="E15" s="20">
        <v>-15000</v>
      </c>
      <c r="F15" s="20">
        <v>0</v>
      </c>
      <c r="G15" s="18" t="s">
        <v>73</v>
      </c>
      <c r="H15" s="18" t="s">
        <v>76</v>
      </c>
      <c r="I15" s="18"/>
      <c r="J15" s="21"/>
      <c r="K15" s="1"/>
      <c r="L15" s="1"/>
      <c r="M15" s="1"/>
      <c r="N15" s="1"/>
      <c r="O15" s="1"/>
      <c r="P15" s="1"/>
      <c r="Q15" s="1"/>
      <c r="R15" s="1"/>
      <c r="S15" s="1"/>
      <c r="T15" s="1"/>
      <c r="U15" s="1"/>
      <c r="V15" s="1"/>
      <c r="W15" s="1"/>
      <c r="X15" s="1"/>
      <c r="Y15" s="1"/>
      <c r="Z15" s="1"/>
    </row>
    <row r="16" spans="1:26" ht="63.75" customHeight="1" thickBot="1">
      <c r="A16" s="23" t="s">
        <v>77</v>
      </c>
      <c r="B16" s="21" t="s">
        <v>71</v>
      </c>
      <c r="C16" s="19" t="s">
        <v>78</v>
      </c>
      <c r="D16" s="20">
        <v>14000</v>
      </c>
      <c r="E16" s="20">
        <v>-14000</v>
      </c>
      <c r="F16" s="20">
        <v>0</v>
      </c>
      <c r="G16" s="18" t="s">
        <v>73</v>
      </c>
      <c r="H16" s="18" t="s">
        <v>79</v>
      </c>
      <c r="I16" s="18"/>
      <c r="J16" s="21"/>
      <c r="K16" s="1"/>
      <c r="L16" s="1"/>
      <c r="M16" s="1"/>
      <c r="N16" s="1"/>
      <c r="O16" s="1"/>
      <c r="P16" s="1"/>
      <c r="Q16" s="1"/>
      <c r="R16" s="1"/>
      <c r="S16" s="1"/>
      <c r="T16" s="1"/>
      <c r="U16" s="1"/>
      <c r="V16" s="1"/>
      <c r="W16" s="1"/>
      <c r="X16" s="1"/>
      <c r="Y16" s="1"/>
      <c r="Z16" s="1"/>
    </row>
    <row r="17" spans="1:26" ht="69" customHeight="1" thickBot="1">
      <c r="A17" s="23" t="s">
        <v>80</v>
      </c>
      <c r="B17" s="21" t="s">
        <v>71</v>
      </c>
      <c r="C17" s="19" t="s">
        <v>81</v>
      </c>
      <c r="D17" s="20">
        <v>16000</v>
      </c>
      <c r="E17" s="20">
        <v>-16000</v>
      </c>
      <c r="F17" s="20">
        <v>0</v>
      </c>
      <c r="G17" s="18" t="s">
        <v>73</v>
      </c>
      <c r="H17" s="18" t="s">
        <v>79</v>
      </c>
      <c r="I17" s="18"/>
      <c r="J17" s="21"/>
      <c r="K17" s="1"/>
      <c r="L17" s="1"/>
      <c r="M17" s="1"/>
      <c r="N17" s="1"/>
      <c r="O17" s="1"/>
      <c r="P17" s="1"/>
      <c r="Q17" s="1"/>
      <c r="R17" s="1"/>
      <c r="S17" s="1"/>
      <c r="T17" s="1"/>
      <c r="U17" s="1"/>
      <c r="V17" s="1"/>
      <c r="W17" s="1"/>
      <c r="X17" s="1"/>
      <c r="Y17" s="1"/>
      <c r="Z17" s="1"/>
    </row>
    <row r="18" spans="1:26" ht="64.5" customHeight="1" thickBot="1">
      <c r="A18" s="23" t="s">
        <v>82</v>
      </c>
      <c r="B18" s="21" t="s">
        <v>71</v>
      </c>
      <c r="C18" s="19" t="s">
        <v>83</v>
      </c>
      <c r="D18" s="20">
        <v>15000</v>
      </c>
      <c r="E18" s="20">
        <v>-8000</v>
      </c>
      <c r="F18" s="20">
        <v>7000</v>
      </c>
      <c r="G18" s="18" t="s">
        <v>73</v>
      </c>
      <c r="H18" s="18" t="s">
        <v>33</v>
      </c>
      <c r="I18" s="18"/>
      <c r="J18" s="21"/>
      <c r="K18" s="1"/>
      <c r="L18" s="1"/>
      <c r="M18" s="1"/>
      <c r="N18" s="1"/>
      <c r="O18" s="1"/>
      <c r="P18" s="1"/>
      <c r="Q18" s="1"/>
      <c r="R18" s="1"/>
      <c r="S18" s="1"/>
      <c r="T18" s="1"/>
      <c r="U18" s="1"/>
      <c r="V18" s="1"/>
      <c r="W18" s="1"/>
      <c r="X18" s="1"/>
      <c r="Y18" s="1"/>
      <c r="Z18" s="1"/>
    </row>
    <row r="19" spans="1:26" ht="77.25" thickBot="1">
      <c r="A19" s="23" t="s">
        <v>84</v>
      </c>
      <c r="B19" s="21" t="s">
        <v>35</v>
      </c>
      <c r="C19" s="19" t="s">
        <v>85</v>
      </c>
      <c r="D19" s="20">
        <v>1160</v>
      </c>
      <c r="E19" s="20">
        <v>-1160</v>
      </c>
      <c r="F19" s="20">
        <v>0</v>
      </c>
      <c r="G19" s="18" t="s">
        <v>37</v>
      </c>
      <c r="H19" s="18" t="s">
        <v>45</v>
      </c>
      <c r="I19" s="18"/>
      <c r="J19" s="21"/>
      <c r="K19" s="1"/>
      <c r="L19" s="1"/>
      <c r="M19" s="1"/>
      <c r="N19" s="1"/>
      <c r="O19" s="1"/>
      <c r="P19" s="1"/>
      <c r="Q19" s="1"/>
      <c r="R19" s="1"/>
      <c r="S19" s="1"/>
      <c r="T19" s="1"/>
      <c r="U19" s="1"/>
      <c r="V19" s="1"/>
      <c r="W19" s="1"/>
      <c r="X19" s="1"/>
      <c r="Y19" s="1"/>
      <c r="Z19" s="1"/>
    </row>
    <row r="20" spans="1:26" ht="90" thickBot="1">
      <c r="A20" s="23" t="s">
        <v>86</v>
      </c>
      <c r="B20" s="21" t="s">
        <v>35</v>
      </c>
      <c r="C20" s="19" t="s">
        <v>87</v>
      </c>
      <c r="D20" s="20">
        <v>2500</v>
      </c>
      <c r="E20" s="20">
        <v>-2500</v>
      </c>
      <c r="F20" s="20">
        <v>0</v>
      </c>
      <c r="G20" s="18" t="s">
        <v>37</v>
      </c>
      <c r="H20" s="18" t="s">
        <v>88</v>
      </c>
      <c r="I20" s="18"/>
      <c r="J20" s="21"/>
      <c r="K20" s="1"/>
      <c r="L20" s="1"/>
      <c r="M20" s="1"/>
      <c r="N20" s="1"/>
      <c r="O20" s="1"/>
      <c r="P20" s="1"/>
      <c r="Q20" s="1"/>
      <c r="R20" s="1"/>
      <c r="S20" s="1"/>
      <c r="T20" s="1"/>
      <c r="U20" s="1"/>
      <c r="V20" s="1"/>
      <c r="W20" s="1"/>
      <c r="X20" s="1"/>
      <c r="Y20" s="1"/>
      <c r="Z20" s="1"/>
    </row>
    <row r="21" spans="1:26" ht="77.25" thickBot="1">
      <c r="A21" s="23" t="s">
        <v>89</v>
      </c>
      <c r="B21" s="21" t="s">
        <v>46</v>
      </c>
      <c r="C21" s="19" t="s">
        <v>90</v>
      </c>
      <c r="D21" s="20">
        <v>1600</v>
      </c>
      <c r="E21" s="20">
        <v>-1600</v>
      </c>
      <c r="F21" s="20">
        <v>0</v>
      </c>
      <c r="G21" s="18" t="s">
        <v>62</v>
      </c>
      <c r="H21" s="18" t="s">
        <v>45</v>
      </c>
      <c r="I21" s="18"/>
      <c r="J21" s="21"/>
      <c r="K21" s="1"/>
      <c r="L21" s="1"/>
      <c r="M21" s="1"/>
      <c r="N21" s="1"/>
      <c r="O21" s="1"/>
      <c r="P21" s="1"/>
      <c r="Q21" s="1"/>
      <c r="R21" s="1"/>
      <c r="S21" s="1"/>
      <c r="T21" s="1"/>
      <c r="U21" s="1"/>
      <c r="V21" s="1"/>
      <c r="W21" s="1"/>
      <c r="X21" s="1"/>
      <c r="Y21" s="1"/>
      <c r="Z21" s="1"/>
    </row>
    <row r="22" spans="1:26" ht="64.5" thickBot="1">
      <c r="A22" s="23" t="s">
        <v>91</v>
      </c>
      <c r="B22" s="21" t="s">
        <v>46</v>
      </c>
      <c r="C22" s="19" t="s">
        <v>92</v>
      </c>
      <c r="D22" s="20">
        <v>1600</v>
      </c>
      <c r="E22" s="20">
        <v>-1600</v>
      </c>
      <c r="F22" s="20">
        <v>0</v>
      </c>
      <c r="G22" s="18" t="s">
        <v>51</v>
      </c>
      <c r="H22" s="18" t="s">
        <v>88</v>
      </c>
      <c r="I22" s="18"/>
      <c r="J22" s="21"/>
      <c r="K22" s="1"/>
      <c r="L22" s="1"/>
      <c r="M22" s="1"/>
      <c r="N22" s="1"/>
      <c r="O22" s="1"/>
      <c r="P22" s="1"/>
      <c r="Q22" s="1"/>
      <c r="R22" s="1"/>
      <c r="S22" s="1"/>
      <c r="T22" s="1"/>
      <c r="U22" s="1"/>
      <c r="V22" s="1"/>
      <c r="W22" s="1"/>
      <c r="X22" s="1"/>
      <c r="Y22" s="1"/>
      <c r="Z22" s="1"/>
    </row>
    <row r="23" spans="1:26" ht="77.25" thickBot="1">
      <c r="A23" s="23" t="s">
        <v>93</v>
      </c>
      <c r="B23" s="21" t="s">
        <v>94</v>
      </c>
      <c r="C23" s="19" t="s">
        <v>95</v>
      </c>
      <c r="D23" s="20">
        <v>2000</v>
      </c>
      <c r="E23" s="20">
        <v>-2000</v>
      </c>
      <c r="F23" s="20">
        <v>0</v>
      </c>
      <c r="G23" s="18" t="s">
        <v>62</v>
      </c>
      <c r="H23" s="18" t="s">
        <v>45</v>
      </c>
      <c r="I23" s="18"/>
      <c r="J23" s="21"/>
      <c r="K23" s="1"/>
      <c r="L23" s="1"/>
      <c r="M23" s="1"/>
      <c r="N23" s="1"/>
      <c r="O23" s="1"/>
      <c r="P23" s="1"/>
      <c r="Q23" s="1"/>
      <c r="R23" s="1"/>
      <c r="S23" s="1"/>
      <c r="T23" s="1"/>
      <c r="U23" s="1"/>
      <c r="V23" s="1"/>
      <c r="W23" s="1"/>
      <c r="X23" s="1"/>
      <c r="Y23" s="1"/>
      <c r="Z23" s="1"/>
    </row>
    <row r="24" spans="1:26" ht="51.75" thickBot="1">
      <c r="A24" s="23" t="s">
        <v>96</v>
      </c>
      <c r="B24" s="21" t="s">
        <v>64</v>
      </c>
      <c r="C24" s="19" t="s">
        <v>97</v>
      </c>
      <c r="D24" s="20">
        <v>1000</v>
      </c>
      <c r="E24" s="20">
        <v>-1000</v>
      </c>
      <c r="F24" s="20">
        <v>0</v>
      </c>
      <c r="G24" s="18" t="s">
        <v>98</v>
      </c>
      <c r="H24" s="18" t="s">
        <v>88</v>
      </c>
      <c r="I24" s="18"/>
      <c r="J24" s="21"/>
      <c r="K24" s="1"/>
      <c r="L24" s="1"/>
      <c r="M24" s="1"/>
      <c r="N24" s="1"/>
      <c r="O24" s="1"/>
      <c r="P24" s="1"/>
      <c r="Q24" s="1"/>
      <c r="R24" s="1"/>
      <c r="S24" s="1"/>
      <c r="T24" s="1"/>
      <c r="U24" s="1"/>
      <c r="V24" s="1"/>
      <c r="W24" s="1"/>
      <c r="X24" s="1"/>
      <c r="Y24" s="1"/>
      <c r="Z24" s="1"/>
    </row>
    <row r="25"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sheetData>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Quote Template</vt:lpstr>
      <vt:lpstr>Data 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Marshall Quick</dc:creator>
  <cp:lastModifiedBy>Marshall Quick</cp:lastModifiedBy>
  <dcterms:created xsi:type="dcterms:W3CDTF">2026-07-30T16:58:24Z</dcterms:created>
  <dcterms:modified xsi:type="dcterms:W3CDTF">2026-07-30T17:22:23Z</dcterms:modified>
</cp:coreProperties>
</file>