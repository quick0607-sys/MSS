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quick\Documents\"/>
    </mc:Choice>
  </mc:AlternateContent>
  <xr:revisionPtr revIDLastSave="0" documentId="8_{31EF6D82-7B48-4350-9543-C78516C52AF3}" xr6:coauthVersionLast="47" xr6:coauthVersionMax="47" xr10:uidLastSave="{00000000-0000-0000-0000-000000000000}"/>
  <bookViews>
    <workbookView xWindow="-120" yWindow="-120" windowWidth="51840" windowHeight="21120" xr2:uid="{00000000-000D-0000-FFFF-FFFF00000000}"/>
  </bookViews>
  <sheets>
    <sheet name="Quote Template" sheetId="1" r:id="rId1"/>
    <sheet name="Data Lists" sheetId="2" r:id="rId2"/>
    <sheet name="Instruction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 r="F17" i="1"/>
  <c r="E17" i="1"/>
  <c r="D17" i="1"/>
  <c r="C17" i="1"/>
  <c r="B17" i="1"/>
  <c r="G17" i="1"/>
  <c r="F16" i="1"/>
  <c r="C16" i="1"/>
  <c r="B16" i="1"/>
  <c r="G16" i="1"/>
  <c r="G15" i="1"/>
  <c r="F15" i="1"/>
  <c r="E15" i="1"/>
  <c r="D15" i="1"/>
  <c r="C15" i="1"/>
  <c r="B15" i="1"/>
  <c r="G14" i="1"/>
  <c r="F14" i="1"/>
  <c r="E14" i="1"/>
  <c r="D14" i="1"/>
  <c r="C14" i="1"/>
  <c r="B14" i="1"/>
  <c r="G13" i="1"/>
  <c r="F13" i="1"/>
  <c r="E13" i="1"/>
  <c r="D13" i="1"/>
  <c r="C13" i="1"/>
  <c r="B13" i="1"/>
  <c r="G12" i="1"/>
  <c r="F12" i="1"/>
  <c r="E12" i="1"/>
  <c r="D12" i="1"/>
  <c r="C12" i="1"/>
  <c r="B12" i="1"/>
</calcChain>
</file>

<file path=xl/sharedStrings.xml><?xml version="1.0" encoding="utf-8"?>
<sst xmlns="http://schemas.openxmlformats.org/spreadsheetml/2006/main" count="165" uniqueCount="131">
  <si>
    <t>AUTOMATED HOME/HEAR QUOTE TEMPLATE</t>
  </si>
  <si>
    <t>Client Name</t>
  </si>
  <si>
    <t>Use dropdowns in Column A</t>
  </si>
  <si>
    <t>Descriptions, pricing, rebates, and totals auto-populate</t>
  </si>
  <si>
    <t>Address Line 1</t>
  </si>
  <si>
    <t>Water heater</t>
  </si>
  <si>
    <t>A.O. Smith HPWH remains default/constant unless changed</t>
  </si>
  <si>
    <t>City, State ZIP</t>
  </si>
  <si>
    <t>Insulation</t>
  </si>
  <si>
    <t>Default insulation remains constant unless changed</t>
  </si>
  <si>
    <t>Invoice #</t>
  </si>
  <si>
    <t>HVAC / electrical</t>
  </si>
  <si>
    <t>Select exact option from full technology choice list</t>
  </si>
  <si>
    <t>Quote Date</t>
  </si>
  <si>
    <t>Pricing</t>
  </si>
  <si>
    <t>Edit Data Lists pricing if a job-specific price changes</t>
  </si>
  <si>
    <t>Program</t>
  </si>
  <si>
    <t>H.O.M.E. QUOTE</t>
  </si>
  <si>
    <t>Sources</t>
  </si>
  <si>
    <t>Descriptions pulled from uploaded signed quotes and quick reference guide</t>
  </si>
  <si>
    <t>Default HVAC Selection</t>
  </si>
  <si>
    <t>Energy Star HVAC - York 2 Ton Heat Pump System</t>
  </si>
  <si>
    <t>Instructions</t>
  </si>
  <si>
    <t>Choose technology choices in A12:A25</t>
  </si>
  <si>
    <t>TECHNOLOGY CHOICE</t>
  </si>
  <si>
    <t>TECHNOLOGY</t>
  </si>
  <si>
    <t>DESCRIPTION</t>
  </si>
  <si>
    <t>UNIT PRICE</t>
  </si>
  <si>
    <t>REBATE</t>
  </si>
  <si>
    <t>TOTAL</t>
  </si>
  <si>
    <t>SOURCE</t>
  </si>
  <si>
    <t>Hot Water Heat Pump - A.O. Smith Signature 900 50 Gal</t>
  </si>
  <si>
    <t>Electrical - Water Heater Only</t>
  </si>
  <si>
    <t>Attic Insulation - Owens Corning / PINK Next Gen R-38</t>
  </si>
  <si>
    <t>Air Seal - Attic Penetrations and Hatch</t>
  </si>
  <si>
    <t>Technology Choice</t>
  </si>
  <si>
    <t>Technology</t>
  </si>
  <si>
    <t>Description</t>
  </si>
  <si>
    <t>Unit Price</t>
  </si>
  <si>
    <t>Rebate</t>
  </si>
  <si>
    <t>Total</t>
  </si>
  <si>
    <t>Category</t>
  </si>
  <si>
    <t>Source</t>
  </si>
  <si>
    <t>Hot Water Heat Pump</t>
  </si>
  <si>
    <t>AHRI # HPS10-50H45DV 2**
Brand A.O. Smith Signature 900 50-Gallon Hybrid Heat Pump Water Heater
Model # HSPN10-50H45DV
Efficiency: 452
Tank size: 50
Description of installation labor
Update gas water heater tank and replace it with an Energy Star Water Heater.
Disconnect and remove the existing water heater if applicable
Dispose and remove equipment
Disconnect existing water and gas or electrical connection and venting, as required
Install a new gas or electric water heater as specified in this proposal
Set unit in the existing location
Connect to existing, serviceable water piping, gas or electric supply, temperature and pressure relief piping, and venting.
Startup unit and verify proper operations
Includes installation kit</t>
  </si>
  <si>
    <t>HEAR / Constant</t>
  </si>
  <si>
    <t>Sawyer/Ramirez quotes + Contractor Quick Reference</t>
  </si>
  <si>
    <t>Hot Water Heat Pump - Aerotherm G2 50 Gal</t>
  </si>
  <si>
    <t>AHRI # 214784826
Brand and description: Aerotherm G2
Model # RE2HP5010PROPH50-T2-RH400
Efficiency: 430
Tank size: 50
Description of installation labor
Update gas water heater tank and replace it with an Energy Star Water Heater.
Disconnect and remove the existing water heater if applicable
Dispose and remove equipment
Disconnect existing water and gas or electrical connection and venting, as required
Install a new gas or electric water heater as specified in this proposal
Set unit in the existing location
Connect to existing, serviceable water piping, gas or electric supply, temperature and pressure relief piping, and venting.
Startup unit and verify proper operations</t>
  </si>
  <si>
    <t>HEAR</t>
  </si>
  <si>
    <t>11519 Blushing Star Ct quote</t>
  </si>
  <si>
    <t>H.E.A.R. QUOTE</t>
  </si>
  <si>
    <t>Electrical</t>
  </si>
  <si>
    <t>Detailed description
Materials needed, approximate length of wire: Wires for changing out Water Heater from Gas to Electric
Which qualified upgrade install requires electrical wiring: WH
Description of labor involved: Electrician will be updating panel and upgrades to electrical because of WH</t>
  </si>
  <si>
    <t>HEAR / Electrical</t>
  </si>
  <si>
    <t>Sawyer quote</t>
  </si>
  <si>
    <t>Electrical - HVAC and Water Heater</t>
  </si>
  <si>
    <t>Detailed description
Materials needed, approximate length of wire: Wires for changing out HVAC and Water Heater from Gas to Electric
Which qualified upgrade install requires electrical wiring: HVAC, WH
Description of labor involved: Electrician will be updating panel and upgrades to electrical because of WH and HVAC</t>
  </si>
  <si>
    <t>Jasmine/Samuel quotes</t>
  </si>
  <si>
    <t>Electrical Panel Upgrade - Main Outside Panel</t>
  </si>
  <si>
    <t>Electrical Panel</t>
  </si>
  <si>
    <t>Detailed description: Panel is not installed correctly. The panel box is over the breaker and impacting easy shut off.
Materials needed: New panel box, updated breakers
Specify main panel or sub panel: Main outside panel
Description of labor involved: Electrician will be updating the panel and breakers as required by the qualified equipment install.</t>
  </si>
  <si>
    <t>5213 Walnut material list</t>
  </si>
  <si>
    <t>Attic Insulation</t>
  </si>
  <si>
    <t>Location of insulation to be installed: Attic
Square feet of area to be insulated: 800 ft²
Type of Energy Star insulation: PINK Next Gen Owens Corning Batt Fiberglass Corning
Current R value: 12.15
Ending R value: 38</t>
  </si>
  <si>
    <t>HEAR / Constant Insulation</t>
  </si>
  <si>
    <t>Attic Insulation - Owens Corning 1,431 SF R-38</t>
  </si>
  <si>
    <t>Description of insulation
Location of insulation to be installed: Attic
Square feet of area to be insulated: 1,431
Type of Energy Star insulation: Owens Corning
Current R value: 12.15
Ending R value: 38</t>
  </si>
  <si>
    <t>HEAR / Insulation</t>
  </si>
  <si>
    <t>Attic Insulation - CertainTeed R-38 Spray In 1,100 SF</t>
  </si>
  <si>
    <t>Location of insulation to be installed: Attic
Square feet of area to be insulated: 1,100 ft²
Type of Energy Star insulation: CertainTeed R-38 Spray In Insulation for 1,100 sf area
Current R value: 3.75
Ending R value: 49 R Value</t>
  </si>
  <si>
    <t>5213 Walnut quote</t>
  </si>
  <si>
    <t>Crawl Space Insulation and Air Seal - Owens Corning R-19</t>
  </si>
  <si>
    <t>Crawl Space Insulation and Air Seal</t>
  </si>
  <si>
    <t>Owens Corning R-19 Wall Unfaced Fiberglass Batt Insulation 77.5-sq ft (15-in W x 93-in L) R-19 unfaced insulation batt, easy 2x6 wall, floor and crawlspace install.
34 R-Value added per Inch
Model #E55P Maximum R-Value -19
Square feet of area to be insulated: 800 ft²</t>
  </si>
  <si>
    <t>HOME / Constant Insulation</t>
  </si>
  <si>
    <t>Sawyer HOME quote</t>
  </si>
  <si>
    <t>Crawl Space Insulation and Air Seal - Owens Corning R-19 1,300 SF</t>
  </si>
  <si>
    <t>Owens Corning R-19 Wall Unfaced Fiberglass Batt Insulation 77.5-sq ft (15-in W x 93-in L) R-19 unfaced insulation batt, easy 2x6 wall, floor and crawlspace install
34 R-Value added per Inch
Model #E55P Maximum R-Value -19
Area: 1300 sf</t>
  </si>
  <si>
    <t>HOME / Insulation</t>
  </si>
  <si>
    <t>6313 Tabor Church Rd quote</t>
  </si>
  <si>
    <t>Air Seal</t>
  </si>
  <si>
    <t>List of each air sealing location: Air seal attic electrical, plumbing, walls and top plate penetrations. Attic hatch cover seal &amp; insulation.
Description of labor involved: 1 Day: 2- or 3-hour job</t>
  </si>
  <si>
    <t>HEAR / Air Seal</t>
  </si>
  <si>
    <t>Heat Pump Dryer - LG DLHC1455W</t>
  </si>
  <si>
    <t>Heat Pump Dryer</t>
  </si>
  <si>
    <t>Updating dryer to an Energy Star Heat Pump Dryer
Model DLHC1455W</t>
  </si>
  <si>
    <t>Energy Star HVAC</t>
  </si>
  <si>
    <t>AHRI - 217016555
York 2 Ton HP ODU R454B. The YC6 models are 16+ SEER2 high-efficiency outdoor HVAC units designed to pair with residential indoor systems for complete home comfort solutions across the U.S. and Canada.
ODU: YH624E2S11
AHU: JHE24B5AC2SS1
Heater Kit: S1-8HK16500506
HSPF2 - 8
SEER2 - 16
EER2 - 12
Heating capacity 24000 BTU
Cooling capacity 24000 BTU
York 2 Ton AHU
Description of install labor
Our Exclusive 1 Year Installation Warranty
Evacuate refrigerant system, removes air and water
Ensure proper amount of freon in AC or HP
Complete inspection upon completion
Remove and dispose used equipment
Ensures proper drainage
Clean up work area before leaving worksite
Sealed connections for greater efficiency
Includes County permit
WIFI Thermostat
10 year compressor warranty
10 year parts warranty
Equipment Pad to stabilize outdoor unit
Equipment selection and sizing per our Heating &amp; Cooling load calculations.
Honeywell smart thermostat. 5” display comes with Equipment Interface Module for 2 wire operation.
Drip pan for air handler/furnace
New return air flex install - R-8 foil backed flex
New supply air flex install - R-8 foil backed flex
New return plenum box made of metal and insulated
New supply plenum distribution box made of metal and insulated
Standard duct work transition
County Permit included
Reconnect indoor equipment to existing electrical
Reconnect outdoor equipment to existing electrical</t>
  </si>
  <si>
    <t>HOME / HVAC</t>
  </si>
  <si>
    <t>Contractor Quick Reference + Sawyer quote</t>
  </si>
  <si>
    <t>Energy Star HVAC - York 3 Ton Heat Pump System</t>
  </si>
  <si>
    <t>AHRI - 217016556
York 3 Ton HP ODU R454B. The YC6 models are 16+ SEER2 high-efficiency outdoor HVAC units designed to pair with residential indoor systems for complete home comfort solutions across the U.S. and Canada.
ODU: YH636E2S11
AHU: JHE36B5CD2SS1
Heater Kit: S1-8HK16500806
HSPF2 - 8
SEER2 - 16
EER2 - 12
Heating capacity 36000 BTU
Cooling capacity 36000 BTU
York 3 Ton AHU
Description of install labor
Our Exclusive 1 Year Installation Warranty
Evacuate refrigerant system, removes air and water
Ensure proper amount of freon in AC or HP
Complete inspection upon completion
Remove and dispose used equipment
Ensures proper drainage
Clean up work area before leaving worksite
Sealed connections for greater efficiency
Includes County permit
WIFI Thermostat
10 year compressor warranty
10 year parts warranty
Equipment Pad to stabilize outdoor unit
Equipment selection and sizing per our Heating &amp; Cooling load calculations.
Honeywell smart thermostat. 5” display comes with Equipment Interface Module for 2 wire operation.
Drip pan for air handler/furnace
New return air flex install - R-8 foil backed flex
New supply air flex install - R-8 foil backed flex
New return plenum box made of metal and insulated
New supply plenum distribution box made of metal and insulated
Standard duct work transition
County Permit included
Reconnect indoor equipment to existing electrical
Reconnect outdoor equipment to existing electrical</t>
  </si>
  <si>
    <t>Energy Star HVAC - York 2 Ton Straight AC + Furnace</t>
  </si>
  <si>
    <t>AHRI - 216600211
York 2 Ton Straight AC + Furnace System
ODU: YC624E2S11
Furnace: Y81E060A12SMPS1
Coil: CTF24A5ABS1
SEER2 - 17.25
EER2 - 13
Cooling capacity 24000 BTU
10-year parts / 10-year compressor warranty
Description of install labor
Our Exclusive 1 Year Installation Warranty
Evacuate refrigerant system, removes air and water
Ensure proper amount of freon in AC or HP
Complete inspection upon completion
Remove and dispose used equipment
Ensures proper drainage
Clean up work area before leaving worksite
Sealed connections for greater efficiency
Includes County permit
WIFI Thermostat
10 year compressor warranty
10 year parts warranty
Equipment Pad to stabilize outdoor unit
Equipment selection and sizing per our Heating &amp; Cooling load calculations.
Honeywell smart thermostat. 5” display comes with Equipment Interface Module for 2 wire operation.
Drip pan for air handler/furnace
New return air flex install - R-8 foil backed flex
New supply air flex install - R-8 foil backed flex
New return plenum box made of metal and insulated
New supply plenum distribution box made of metal and insulated
Standard duct work transition
County Permit included
Reconnect indoor equipment to existing electrical
Reconnect outdoor equipment to existing electrical</t>
  </si>
  <si>
    <t>Contractor Quick Reference</t>
  </si>
  <si>
    <t>Energy Star HVAC - York 3 Ton Straight AC + Furnace</t>
  </si>
  <si>
    <t>AHRI - 216600174
York 3 Ton Straight AC + Furnace System
ODU: YC636E2S11
Furnace: Y81E080B12SMPS1
Coil: CTF36B5ADS1
SEER2 - 16.25
EER2 - 12.5
Cooling capacity 36000 BTU
10-year parts / 10-year compressor warranty
Description of install labor
Our Exclusive 1 Year Installation Warranty
Evacuate refrigerant system, removes air and water
Ensure proper amount of freon in AC or HP
Complete inspection upon completion
Remove and dispose used equipment
Ensures proper drainage
Clean up work area before leaving worksite
Sealed connections for greater efficiency
Includes County permit
WIFI Thermostat
10 year compressor warranty
10 year parts warranty
Equipment Pad to stabilize outdoor unit
Equipment selection and sizing per our Heating &amp; Cooling load calculations.
Honeywell smart thermostat. 5” display comes with Equipment Interface Module for 2 wire operation.
Drip pan for air handler/furnace
New return air flex install - R-8 foil backed flex
New supply air flex install - R-8 foil backed flex
New return plenum box made of metal and insulated
New supply plenum distribution box made of metal and insulated
Standard duct work transition
County Permit included
Reconnect indoor equipment to existing electrical
Reconnect outdoor equipment to existing electrical</t>
  </si>
  <si>
    <t>Energy Star HVAC - MoovAir HP 3 Ton</t>
  </si>
  <si>
    <t>AHRI # 216030978
Outdoor unit
Brand and description: MoovAir HP 3 Ton
Model # MSHMB36R2AN1
HSPF2: 10
SEER2: 18
Heating capacity: 37000
Compatible indoor unit description for each outdoor unit
Brand and description: MoovAir HP
Model # MSHMA36
Description of install labor
Our Exclusive 1 Year Installation Warranty
Evacuate refrigerant system, removes air and water
Ensure proper amount of freon in AC or HP
Complete inspection upon completion
Remove and dispose used equipment
Ensures proper drainage
Clean up work area before leaving worksite
Sealed connections for greater efficiency
Includes County permit
WIFI Thermostat
10 year compressor warranty
10 year parts warranty
Equipment Pad to stabilize outdoor unit
Equipment selection and sizing per our Heating &amp; Cooling load calculations.
Honeywell smart thermostat. 5” display comes with Equipment Interface Module for 2 wire operation.
Drip pan for air handler/furnace
New return air flex install - R-8 foil backed flex
New supply air flex install - R-8 foil backed flex
New return plenum box made of metal and insulated
New supply plenum distribution box made of metal and insulated
Standard duct work transition
County Permit included
Reconnect indoor equipment to existing electrical
Reconnect outdoor equipment to existing electrical</t>
  </si>
  <si>
    <t>How to Use the Automated Quote Template</t>
  </si>
  <si>
    <t>Step</t>
  </si>
  <si>
    <t>Action</t>
  </si>
  <si>
    <t>Where</t>
  </si>
  <si>
    <t>Result</t>
  </si>
  <si>
    <t>Enter client/invoice information</t>
  </si>
  <si>
    <t>Quote Template B3:B9</t>
  </si>
  <si>
    <t>Header information is ready for the quote.</t>
  </si>
  <si>
    <t>Select Program</t>
  </si>
  <si>
    <t>Quote Template B8 dropdown</t>
  </si>
  <si>
    <t>Program label changes between HOME and HEAR.</t>
  </si>
  <si>
    <t>Select technology choices</t>
  </si>
  <si>
    <t>Quote Template A12:A25 dropdown</t>
  </si>
  <si>
    <t>Technology, description, price, rebate, total, and source auto-populate.</t>
  </si>
  <si>
    <t>Update or add choices</t>
  </si>
  <si>
    <t>Data Lists A:H</t>
  </si>
  <si>
    <t>New choices become available in the dropdown when added within A2:A18.</t>
  </si>
  <si>
    <t>Water heater / insulation defaults</t>
  </si>
  <si>
    <t>Rows 12 and 15</t>
  </si>
  <si>
    <t>Defaults are preloaded but can be changed if needed.</t>
  </si>
  <si>
    <t>Adjust pricing</t>
  </si>
  <si>
    <t>Data Lists D:E</t>
  </si>
  <si>
    <t>Quote totals update through formulas.</t>
  </si>
  <si>
    <t>Print/save quote</t>
  </si>
  <si>
    <t>Quote Template</t>
  </si>
  <si>
    <t>Use the quote table section for customer quote output.</t>
  </si>
  <si>
    <t>Column1</t>
  </si>
  <si>
    <t>Column2</t>
  </si>
  <si>
    <t>Column3</t>
  </si>
  <si>
    <t>Column4</t>
  </si>
  <si>
    <t>Column5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</si>
</sst>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0"/>
  </numFmts>
  <fonts count="6">
    <font>
      <sz val="11"/>
      <name val="Carlito"/>
    </font>
    <font>
      <b/>
      <sz val="16"/>
      <color rgb="FFFFFFFF"/>
      <name val="Carlito"/>
    </font>
    <font>
      <b/>
      <sz val="11"/>
      <name val="Carlito"/>
    </font>
    <font>
      <b/>
      <sz val="11"/>
      <color rgb="FFFFFFFF"/>
      <name val="Carlito"/>
    </font>
    <font>
      <b/>
      <sz val="11"/>
      <color rgb="FF7C2D12"/>
      <name val="Carlito"/>
    </font>
    <font>
      <sz val="11"/>
      <color rgb="FF7C2D12"/>
      <name val="Carlito"/>
    </font>
  </fonts>
  <fills count="9">
    <fill>
      <patternFill patternType="none"/>
    </fill>
    <fill>
      <patternFill patternType="gray125"/>
    </fill>
    <fill>
      <patternFill patternType="solid">
        <fgColor rgb="FF1F4E78"/>
      </patternFill>
    </fill>
    <fill>
      <patternFill patternType="solid">
        <fgColor rgb="FFFFF2CC"/>
      </patternFill>
    </fill>
    <fill>
      <patternFill patternType="solid">
        <fgColor rgb="FF0F766E"/>
      </patternFill>
    </fill>
    <fill>
      <patternFill patternType="solid">
        <fgColor rgb="FF115E59"/>
      </patternFill>
    </fill>
    <fill>
      <patternFill patternType="solid">
        <fgColor rgb="FFF3F4F6"/>
      </patternFill>
    </fill>
    <fill>
      <patternFill patternType="solid">
        <fgColor rgb="FFDBEAFE"/>
      </patternFill>
    </fill>
    <fill>
      <patternFill patternType="solid">
        <fgColor rgb="FFFEF3C7"/>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34">
    <xf numFmtId="0" fontId="0" fillId="0" borderId="0" xfId="0"/>
    <xf numFmtId="0" fontId="0" fillId="0" borderId="0" xfId="0" applyAlignment="1">
      <alignment wrapText="1"/>
    </xf>
    <xf numFmtId="0" fontId="3" fillId="2" borderId="0" xfId="0" applyFont="1" applyFill="1" applyAlignment="1">
      <alignment horizontal="center" vertical="center" wrapText="1"/>
    </xf>
    <xf numFmtId="0" fontId="3" fillId="5" borderId="0" xfId="0" applyFont="1" applyFill="1" applyAlignment="1">
      <alignment horizontal="center" vertical="center" wrapText="1"/>
    </xf>
    <xf numFmtId="0" fontId="0" fillId="0" borderId="1" xfId="0" applyBorder="1" applyAlignment="1">
      <alignment vertical="top" wrapText="1"/>
    </xf>
    <xf numFmtId="0" fontId="2" fillId="6" borderId="1" xfId="0" applyFont="1" applyFill="1" applyBorder="1" applyAlignment="1">
      <alignment vertical="top" wrapText="1"/>
    </xf>
    <xf numFmtId="0" fontId="0" fillId="7" borderId="1" xfId="0" applyFill="1" applyBorder="1" applyAlignment="1">
      <alignment vertical="top" wrapText="1"/>
    </xf>
    <xf numFmtId="0" fontId="4" fillId="8" borderId="1" xfId="0" applyFont="1" applyFill="1" applyBorder="1" applyAlignment="1">
      <alignment horizontal="center" vertical="top" wrapText="1"/>
    </xf>
    <xf numFmtId="0" fontId="5" fillId="8" borderId="1" xfId="0" applyFont="1" applyFill="1" applyBorder="1" applyAlignment="1">
      <alignment vertical="top" wrapText="1"/>
    </xf>
    <xf numFmtId="0" fontId="3" fillId="5" borderId="1" xfId="0" applyFont="1" applyFill="1" applyBorder="1" applyAlignment="1">
      <alignment horizontal="center" vertical="top" wrapText="1"/>
    </xf>
    <xf numFmtId="164" fontId="0" fillId="3" borderId="1" xfId="0" applyNumberFormat="1" applyFill="1" applyBorder="1" applyAlignment="1">
      <alignment vertical="top" wrapText="1"/>
    </xf>
    <xf numFmtId="164" fontId="0" fillId="0" borderId="1" xfId="0" applyNumberFormat="1" applyBorder="1" applyAlignment="1">
      <alignment vertical="top" wrapText="1"/>
    </xf>
    <xf numFmtId="165" fontId="3" fillId="2" borderId="1" xfId="0" applyNumberFormat="1" applyFont="1" applyFill="1" applyBorder="1" applyAlignment="1">
      <alignment horizontal="center" vertical="top" wrapText="1"/>
    </xf>
    <xf numFmtId="165" fontId="0" fillId="3" borderId="1" xfId="0" applyNumberFormat="1" applyFill="1" applyBorder="1" applyAlignment="1">
      <alignment horizontal="center" vertical="top" wrapText="1"/>
    </xf>
    <xf numFmtId="165" fontId="0" fillId="0" borderId="1" xfId="0" applyNumberFormat="1" applyBorder="1" applyAlignment="1">
      <alignment horizontal="center" vertical="top" wrapText="1"/>
    </xf>
    <xf numFmtId="0" fontId="0" fillId="0" borderId="2" xfId="0" applyBorder="1" applyAlignment="1">
      <alignment vertical="top" wrapText="1"/>
    </xf>
    <xf numFmtId="0" fontId="3" fillId="5" borderId="3" xfId="0" applyFont="1" applyFill="1" applyBorder="1" applyAlignment="1">
      <alignment horizontal="center" vertical="top" wrapText="1"/>
    </xf>
    <xf numFmtId="164" fontId="0" fillId="3" borderId="4" xfId="0" applyNumberFormat="1" applyFill="1" applyBorder="1" applyAlignment="1">
      <alignment vertical="top" wrapText="1"/>
    </xf>
    <xf numFmtId="165" fontId="0" fillId="3" borderId="4" xfId="0" applyNumberFormat="1" applyFill="1" applyBorder="1" applyAlignment="1">
      <alignment horizontal="center" vertical="top" wrapText="1"/>
    </xf>
    <xf numFmtId="165" fontId="0" fillId="0" borderId="4" xfId="0" applyNumberFormat="1" applyBorder="1" applyAlignment="1">
      <alignment horizontal="center" vertical="top" wrapText="1"/>
    </xf>
    <xf numFmtId="165" fontId="0" fillId="0" borderId="5" xfId="0" applyNumberFormat="1" applyBorder="1" applyAlignment="1">
      <alignment horizontal="center" vertical="top" wrapText="1"/>
    </xf>
    <xf numFmtId="165" fontId="0" fillId="0" borderId="6" xfId="0" applyNumberFormat="1" applyBorder="1" applyAlignment="1">
      <alignment horizontal="center" vertical="top" wrapText="1"/>
    </xf>
    <xf numFmtId="164" fontId="0" fillId="0" borderId="7" xfId="0" applyNumberFormat="1" applyBorder="1" applyAlignment="1">
      <alignment vertical="top" wrapText="1"/>
    </xf>
    <xf numFmtId="0" fontId="0" fillId="0" borderId="9" xfId="0" applyBorder="1" applyAlignment="1">
      <alignment vertical="top" wrapText="1"/>
    </xf>
    <xf numFmtId="164" fontId="2" fillId="0" borderId="2" xfId="0" applyNumberFormat="1" applyFont="1" applyBorder="1" applyAlignment="1">
      <alignment vertical="top" wrapText="1"/>
    </xf>
    <xf numFmtId="164" fontId="2" fillId="0" borderId="10" xfId="0" applyNumberFormat="1" applyFont="1" applyBorder="1" applyAlignment="1">
      <alignment vertical="top" wrapText="1"/>
    </xf>
    <xf numFmtId="0" fontId="0" fillId="7" borderId="11" xfId="0" applyFill="1" applyBorder="1" applyAlignment="1">
      <alignment vertical="top" wrapText="1"/>
    </xf>
    <xf numFmtId="0" fontId="0" fillId="7" borderId="12" xfId="0" applyFill="1" applyBorder="1" applyAlignment="1">
      <alignment vertical="top" wrapText="1"/>
    </xf>
    <xf numFmtId="0" fontId="2" fillId="7" borderId="12" xfId="0" applyFont="1" applyFill="1" applyBorder="1" applyAlignment="1">
      <alignment vertical="top" wrapText="1"/>
    </xf>
    <xf numFmtId="0" fontId="2" fillId="7" borderId="13" xfId="0" applyFont="1" applyFill="1" applyBorder="1" applyAlignment="1">
      <alignment vertical="top" wrapText="1"/>
    </xf>
    <xf numFmtId="165" fontId="0" fillId="0" borderId="7" xfId="0" applyNumberFormat="1" applyBorder="1" applyAlignment="1">
      <alignment horizontal="center" vertical="top" wrapText="1"/>
    </xf>
    <xf numFmtId="165" fontId="0" fillId="0" borderId="8" xfId="0" applyNumberFormat="1" applyBorder="1" applyAlignment="1">
      <alignment horizontal="center" vertical="top" wrapText="1"/>
    </xf>
    <xf numFmtId="0" fontId="1" fillId="4" borderId="1" xfId="0" applyFont="1" applyFill="1" applyBorder="1" applyAlignment="1">
      <alignment horizontal="center" vertical="top" wrapText="1"/>
    </xf>
    <xf numFmtId="0" fontId="1" fillId="4"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VACOptions" displayName="HVACOptions" ref="A1:J5">
  <tableColumns count="10">
    <tableColumn id="1" xr3:uid="{00000000-0010-0000-0000-000001000000}" name="Technology Choice"/>
    <tableColumn id="2" xr3:uid="{00000000-0010-0000-0000-000002000000}" name="Technology"/>
    <tableColumn id="3" xr3:uid="{00000000-0010-0000-0000-000003000000}" name="Description"/>
    <tableColumn id="4" xr3:uid="{00000000-0010-0000-0000-000004000000}" name="Unit Price"/>
    <tableColumn id="5" xr3:uid="{00000000-0010-0000-0000-000005000000}" name="Rebate"/>
    <tableColumn id="6" xr3:uid="{00000000-0010-0000-0000-000006000000}" name="Total"/>
    <tableColumn id="7" xr3:uid="{00000000-0010-0000-0000-000007000000}" name="Category"/>
    <tableColumn id="8" xr3:uid="{00000000-0010-0000-0000-000008000000}" name="Source"/>
    <tableColumn id="9" xr3:uid="{00000000-0010-0000-0000-000009000000}" name="Column1"/>
    <tableColumn id="10" xr3:uid="{00000000-0010-0000-0000-00000A000000}" name="Program"/>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nstantItems" displayName="ConstantItems" ref="L1:P4">
  <tableColumns count="5">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00"/>
  <sheetViews>
    <sheetView tabSelected="1" workbookViewId="0">
      <selection activeCell="A17" sqref="A17"/>
    </sheetView>
  </sheetViews>
  <sheetFormatPr defaultRowHeight="14.25"/>
  <cols>
    <col min="1" max="1" width="33.125" bestFit="1" customWidth="1"/>
    <col min="2" max="2" width="21.5" bestFit="1" customWidth="1"/>
    <col min="3" max="3" width="86.625" customWidth="1"/>
    <col min="4" max="4" width="28.375" customWidth="1"/>
    <col min="5" max="5" width="40.5" customWidth="1"/>
    <col min="6" max="6" width="12.625" customWidth="1"/>
    <col min="7" max="7" width="25.875" hidden="1" customWidth="1"/>
  </cols>
  <sheetData>
    <row r="1" spans="1:26" ht="27.95" customHeight="1">
      <c r="A1" s="32" t="s">
        <v>0</v>
      </c>
      <c r="B1" s="32"/>
      <c r="C1" s="32"/>
      <c r="D1" s="32"/>
      <c r="E1" s="32"/>
      <c r="F1" s="32"/>
      <c r="G1" s="32"/>
      <c r="H1" s="1"/>
      <c r="I1" s="1"/>
      <c r="J1" s="1"/>
      <c r="K1" s="1"/>
      <c r="L1" s="1"/>
      <c r="M1" s="1"/>
      <c r="N1" s="1"/>
      <c r="O1" s="1"/>
      <c r="P1" s="1"/>
      <c r="Q1" s="1"/>
      <c r="R1" s="1"/>
      <c r="S1" s="1"/>
      <c r="T1" s="1"/>
      <c r="U1" s="1"/>
      <c r="V1" s="1"/>
      <c r="W1" s="1"/>
      <c r="X1" s="1"/>
      <c r="Y1" s="1"/>
      <c r="Z1" s="1"/>
    </row>
    <row r="2" spans="1:26">
      <c r="A2" s="4"/>
      <c r="B2" s="4"/>
      <c r="C2" s="4"/>
      <c r="D2" s="4"/>
      <c r="E2" s="4"/>
      <c r="F2" s="4"/>
      <c r="G2" s="4"/>
      <c r="H2" s="1"/>
      <c r="I2" s="1"/>
      <c r="J2" s="1"/>
      <c r="K2" s="1"/>
      <c r="L2" s="1"/>
      <c r="M2" s="1"/>
      <c r="N2" s="1"/>
      <c r="O2" s="1"/>
      <c r="P2" s="1"/>
      <c r="Q2" s="1"/>
      <c r="R2" s="1"/>
      <c r="S2" s="1"/>
      <c r="T2" s="1"/>
      <c r="U2" s="1"/>
      <c r="V2" s="1"/>
      <c r="W2" s="1"/>
      <c r="X2" s="1"/>
      <c r="Y2" s="1"/>
      <c r="Z2" s="1"/>
    </row>
    <row r="3" spans="1:26" ht="30">
      <c r="A3" s="5" t="s">
        <v>1</v>
      </c>
      <c r="B3" s="6"/>
      <c r="C3" s="4"/>
      <c r="D3" s="7" t="s">
        <v>2</v>
      </c>
      <c r="E3" s="7" t="s">
        <v>3</v>
      </c>
      <c r="F3" s="7"/>
      <c r="G3" s="7"/>
      <c r="H3" s="1"/>
      <c r="I3" s="1"/>
      <c r="J3" s="1"/>
      <c r="K3" s="1"/>
      <c r="L3" s="1"/>
      <c r="M3" s="1"/>
      <c r="N3" s="1"/>
      <c r="O3" s="1"/>
      <c r="P3" s="1"/>
      <c r="Q3" s="1"/>
      <c r="R3" s="1"/>
      <c r="S3" s="1"/>
      <c r="T3" s="1"/>
      <c r="U3" s="1"/>
      <c r="V3" s="1"/>
      <c r="W3" s="1"/>
      <c r="X3" s="1"/>
      <c r="Y3" s="1"/>
      <c r="Z3" s="1"/>
    </row>
    <row r="4" spans="1:26" ht="28.5">
      <c r="A4" s="5" t="s">
        <v>4</v>
      </c>
      <c r="B4" s="6"/>
      <c r="C4" s="4"/>
      <c r="D4" s="8" t="s">
        <v>5</v>
      </c>
      <c r="E4" s="8" t="s">
        <v>6</v>
      </c>
      <c r="F4" s="8"/>
      <c r="G4" s="8"/>
      <c r="H4" s="1"/>
      <c r="I4" s="1"/>
      <c r="J4" s="1"/>
      <c r="K4" s="1"/>
      <c r="L4" s="1"/>
      <c r="M4" s="1"/>
      <c r="N4" s="1"/>
      <c r="O4" s="1"/>
      <c r="P4" s="1"/>
      <c r="Q4" s="1"/>
      <c r="R4" s="1"/>
      <c r="S4" s="1"/>
      <c r="T4" s="1"/>
      <c r="U4" s="1"/>
      <c r="V4" s="1"/>
      <c r="W4" s="1"/>
      <c r="X4" s="1"/>
      <c r="Y4" s="1"/>
      <c r="Z4" s="1"/>
    </row>
    <row r="5" spans="1:26" ht="28.5">
      <c r="A5" s="5" t="s">
        <v>7</v>
      </c>
      <c r="B5" s="6"/>
      <c r="C5" s="4"/>
      <c r="D5" s="8" t="s">
        <v>8</v>
      </c>
      <c r="E5" s="8" t="s">
        <v>9</v>
      </c>
      <c r="F5" s="8"/>
      <c r="G5" s="8"/>
      <c r="H5" s="1"/>
      <c r="I5" s="1"/>
      <c r="J5" s="1"/>
      <c r="K5" s="1"/>
      <c r="L5" s="1"/>
      <c r="M5" s="1"/>
      <c r="N5" s="1"/>
      <c r="O5" s="1"/>
      <c r="P5" s="1"/>
      <c r="Q5" s="1"/>
      <c r="R5" s="1"/>
      <c r="S5" s="1"/>
      <c r="T5" s="1"/>
      <c r="U5" s="1"/>
      <c r="V5" s="1"/>
      <c r="W5" s="1"/>
      <c r="X5" s="1"/>
      <c r="Y5" s="1"/>
      <c r="Z5" s="1"/>
    </row>
    <row r="6" spans="1:26" ht="28.5">
      <c r="A6" s="5" t="s">
        <v>10</v>
      </c>
      <c r="B6" s="6"/>
      <c r="C6" s="4"/>
      <c r="D6" s="8" t="s">
        <v>11</v>
      </c>
      <c r="E6" s="8" t="s">
        <v>12</v>
      </c>
      <c r="F6" s="8"/>
      <c r="G6" s="8"/>
      <c r="H6" s="1"/>
      <c r="I6" s="1"/>
      <c r="J6" s="1"/>
      <c r="K6" s="1"/>
      <c r="L6" s="1"/>
      <c r="M6" s="1"/>
      <c r="N6" s="1"/>
      <c r="O6" s="1"/>
      <c r="P6" s="1"/>
      <c r="Q6" s="1"/>
      <c r="R6" s="1"/>
      <c r="S6" s="1"/>
      <c r="T6" s="1"/>
      <c r="U6" s="1"/>
      <c r="V6" s="1"/>
      <c r="W6" s="1"/>
      <c r="X6" s="1"/>
      <c r="Y6" s="1"/>
      <c r="Z6" s="1"/>
    </row>
    <row r="7" spans="1:26" ht="28.5">
      <c r="A7" s="5" t="s">
        <v>13</v>
      </c>
      <c r="B7" s="6"/>
      <c r="C7" s="4"/>
      <c r="D7" s="8" t="s">
        <v>14</v>
      </c>
      <c r="E7" s="8" t="s">
        <v>15</v>
      </c>
      <c r="F7" s="8"/>
      <c r="G7" s="8"/>
      <c r="H7" s="1"/>
      <c r="I7" s="1"/>
      <c r="J7" s="1"/>
      <c r="K7" s="1"/>
      <c r="L7" s="1"/>
      <c r="M7" s="1"/>
      <c r="N7" s="1"/>
      <c r="O7" s="1"/>
      <c r="P7" s="1"/>
      <c r="Q7" s="1"/>
      <c r="R7" s="1"/>
      <c r="S7" s="1"/>
      <c r="T7" s="1"/>
      <c r="U7" s="1"/>
      <c r="V7" s="1"/>
      <c r="W7" s="1"/>
      <c r="X7" s="1"/>
      <c r="Y7" s="1"/>
      <c r="Z7" s="1"/>
    </row>
    <row r="8" spans="1:26" ht="28.5">
      <c r="A8" s="5" t="s">
        <v>16</v>
      </c>
      <c r="B8" s="6" t="s">
        <v>51</v>
      </c>
      <c r="C8" s="4"/>
      <c r="D8" s="8" t="s">
        <v>18</v>
      </c>
      <c r="E8" s="8" t="s">
        <v>19</v>
      </c>
      <c r="F8" s="8"/>
      <c r="G8" s="8"/>
      <c r="H8" s="1"/>
      <c r="I8" s="1"/>
      <c r="J8" s="1"/>
      <c r="K8" s="1"/>
      <c r="L8" s="1"/>
      <c r="M8" s="1"/>
      <c r="N8" s="1"/>
      <c r="O8" s="1"/>
      <c r="P8" s="1"/>
      <c r="Q8" s="1"/>
      <c r="R8" s="1"/>
      <c r="S8" s="1"/>
      <c r="T8" s="1"/>
      <c r="U8" s="1"/>
      <c r="V8" s="1"/>
      <c r="W8" s="1"/>
      <c r="X8" s="1"/>
      <c r="Y8" s="1"/>
      <c r="Z8" s="1"/>
    </row>
    <row r="9" spans="1:26" ht="42.75">
      <c r="A9" s="5" t="s">
        <v>20</v>
      </c>
      <c r="B9" s="6" t="s">
        <v>96</v>
      </c>
      <c r="C9" s="4"/>
      <c r="D9" s="8" t="s">
        <v>22</v>
      </c>
      <c r="E9" s="8" t="s">
        <v>23</v>
      </c>
      <c r="F9" s="8"/>
      <c r="G9" s="8"/>
      <c r="H9" s="1"/>
      <c r="I9" s="1"/>
      <c r="J9" s="1"/>
      <c r="K9" s="1"/>
      <c r="L9" s="1"/>
      <c r="M9" s="1"/>
      <c r="N9" s="1"/>
      <c r="O9" s="1"/>
      <c r="P9" s="1"/>
      <c r="Q9" s="1"/>
      <c r="R9" s="1"/>
      <c r="S9" s="1"/>
      <c r="T9" s="1"/>
      <c r="U9" s="1"/>
      <c r="V9" s="1"/>
      <c r="W9" s="1"/>
      <c r="X9" s="1"/>
      <c r="Y9" s="1"/>
      <c r="Z9" s="1"/>
    </row>
    <row r="10" spans="1:26">
      <c r="A10" s="4"/>
      <c r="B10" s="4"/>
      <c r="C10" s="4"/>
      <c r="D10" s="4"/>
      <c r="E10" s="4"/>
      <c r="F10" s="4"/>
      <c r="G10" s="4"/>
      <c r="H10" s="1"/>
      <c r="I10" s="1"/>
      <c r="J10" s="1"/>
      <c r="K10" s="1"/>
      <c r="L10" s="1"/>
      <c r="M10" s="1"/>
      <c r="N10" s="1"/>
      <c r="O10" s="1"/>
      <c r="P10" s="1"/>
      <c r="Q10" s="1"/>
      <c r="R10" s="1"/>
      <c r="S10" s="1"/>
      <c r="T10" s="1"/>
      <c r="U10" s="1"/>
      <c r="V10" s="1"/>
      <c r="W10" s="1"/>
      <c r="X10" s="1"/>
      <c r="Y10" s="1"/>
      <c r="Z10" s="1"/>
    </row>
    <row r="11" spans="1:26" ht="15.75" thickBot="1">
      <c r="A11" s="16" t="s">
        <v>24</v>
      </c>
      <c r="B11" s="16" t="s">
        <v>25</v>
      </c>
      <c r="C11" s="16" t="s">
        <v>26</v>
      </c>
      <c r="D11" s="16" t="s">
        <v>27</v>
      </c>
      <c r="E11" s="16" t="s">
        <v>28</v>
      </c>
      <c r="F11" s="16" t="s">
        <v>29</v>
      </c>
      <c r="G11" s="9" t="s">
        <v>30</v>
      </c>
      <c r="H11" s="1"/>
      <c r="I11" s="1"/>
      <c r="J11" s="1"/>
      <c r="K11" s="1"/>
      <c r="L11" s="1"/>
      <c r="M11" s="1"/>
      <c r="N11" s="1"/>
      <c r="O11" s="1"/>
      <c r="P11" s="1"/>
      <c r="Q11" s="1"/>
      <c r="R11" s="1"/>
      <c r="S11" s="1"/>
      <c r="T11" s="1"/>
      <c r="U11" s="1"/>
      <c r="V11" s="1"/>
      <c r="W11" s="1"/>
      <c r="X11" s="1"/>
      <c r="Y11" s="1"/>
      <c r="Z11" s="1"/>
    </row>
    <row r="12" spans="1:26" ht="238.5" customHeight="1">
      <c r="A12" s="26" t="s">
        <v>31</v>
      </c>
      <c r="B12" s="23" t="str">
        <f>IFERROR(VLOOKUP($A12,'Data Lists'!$A:$H,2,FALSE),"")</f>
        <v>Hot Water Heat Pump</v>
      </c>
      <c r="C12" s="17" t="str">
        <f>IFERROR(VLOOKUP($A12,'Data Lists'!$A:$H,3,FALSE),"")</f>
        <v>AHRI # HPS10-50H45DV 2**
Brand A.O. Smith Signature 900 50-Gallon Hybrid Heat Pump Water Heater
Model # HSPN10-50H45DV
Efficiency: 452
Tank size: 50
Description of installation labor
Update gas water heater tank and replace it with an Energy Star Water Heater.
Disconnect and remove the existing water heater if applicable
Dispose and remove equipment
Disconnect existing water and gas or electrical connection and venting, as required
Install a new gas or electric water heater as specified in this proposal
Set unit in the existing location
Connect to existing, serviceable water piping, gas or electric supply, temperature and pressure relief piping, and venting.
Startup unit and verify proper operations
Includes installation kit</v>
      </c>
      <c r="D12" s="18">
        <f>IFERROR(VLOOKUP($A12,'Data Lists'!$A:$H,4,FALSE),"")</f>
        <v>1750</v>
      </c>
      <c r="E12" s="19">
        <f>IFERROR(VLOOKUP($A12,'Data Lists'!$A:$H,5,FALSE),"")</f>
        <v>-1750</v>
      </c>
      <c r="F12" s="20">
        <f>IF($A12="","",IFERROR(VLOOKUP($A12,'Data Lists'!$A:$H,6,FALSE),D12+E12))</f>
        <v>0</v>
      </c>
      <c r="G12" s="15" t="str">
        <f>IFERROR(VLOOKUP($A12,'Data Lists'!$A:$H,8,FALSE),"")</f>
        <v>Sawyer/Ramirez quotes + Contractor Quick Reference</v>
      </c>
      <c r="H12" s="1"/>
      <c r="I12" s="1"/>
      <c r="J12" s="1"/>
      <c r="K12" s="1"/>
      <c r="L12" s="1"/>
      <c r="M12" s="1"/>
      <c r="N12" s="1"/>
      <c r="O12" s="1"/>
      <c r="P12" s="1"/>
      <c r="Q12" s="1"/>
      <c r="R12" s="1"/>
      <c r="S12" s="1"/>
      <c r="T12" s="1"/>
      <c r="U12" s="1"/>
      <c r="V12" s="1"/>
      <c r="W12" s="1"/>
      <c r="X12" s="1"/>
      <c r="Y12" s="1"/>
      <c r="Z12" s="1"/>
    </row>
    <row r="13" spans="1:26" ht="71.25">
      <c r="A13" s="27" t="s">
        <v>32</v>
      </c>
      <c r="B13" s="15" t="str">
        <f>IFERROR(VLOOKUP($A13,'Data Lists'!$A:$H,2,FALSE),"")</f>
        <v>Electrical</v>
      </c>
      <c r="C13" s="10" t="str">
        <f>IFERROR(VLOOKUP($A13,'Data Lists'!$A:$H,3,FALSE),"")</f>
        <v>Detailed description
Materials needed, approximate length of wire: Wires for changing out Water Heater from Gas to Electric
Which qualified upgrade install requires electrical wiring: WH
Description of labor involved: Electrician will be updating panel and upgrades to electrical because of WH</v>
      </c>
      <c r="D13" s="13">
        <f>IFERROR(VLOOKUP($A13,'Data Lists'!$A:$H,4,FALSE),"")</f>
        <v>2000</v>
      </c>
      <c r="E13" s="14">
        <f>IFERROR(VLOOKUP($A13,'Data Lists'!$A:$H,5,FALSE),"")</f>
        <v>-2000</v>
      </c>
      <c r="F13" s="21">
        <f>IF($A13="","",IFERROR(VLOOKUP($A13,'Data Lists'!$A:$H,6,FALSE),D13+E13))</f>
        <v>0</v>
      </c>
      <c r="G13" s="15" t="str">
        <f>IFERROR(VLOOKUP($A13,'Data Lists'!$A:$H,8,FALSE),"")</f>
        <v>Sawyer quote</v>
      </c>
      <c r="H13" s="1"/>
      <c r="I13" s="1"/>
      <c r="J13" s="1"/>
      <c r="K13" s="1"/>
      <c r="L13" s="1"/>
      <c r="M13" s="1"/>
      <c r="N13" s="1"/>
      <c r="O13" s="1"/>
      <c r="P13" s="1"/>
      <c r="Q13" s="1"/>
      <c r="R13" s="1"/>
      <c r="S13" s="1"/>
      <c r="T13" s="1"/>
      <c r="U13" s="1"/>
      <c r="V13" s="1"/>
      <c r="W13" s="1"/>
      <c r="X13" s="1"/>
      <c r="Y13" s="1"/>
      <c r="Z13" s="1"/>
    </row>
    <row r="14" spans="1:26" ht="71.25">
      <c r="A14" s="27" t="s">
        <v>72</v>
      </c>
      <c r="B14" s="15" t="str">
        <f>IFERROR(VLOOKUP($A14,'Data Lists'!$A:$H,2,FALSE),"")</f>
        <v>Crawl Space Insulation and Air Seal</v>
      </c>
      <c r="C14" s="10" t="str">
        <f>IFERROR(VLOOKUP($A14,'Data Lists'!$A:$H,3,FALSE),"")</f>
        <v>Owens Corning R-19 Wall Unfaced Fiberglass Batt Insulation 77.5-sq ft (15-in W x 93-in L) R-19 unfaced insulation batt, easy 2x6 wall, floor and crawlspace install.
34 R-Value added per Inch
Model #E55P Maximum R-Value -19
Square feet of area to be insulated: 800 ft²</v>
      </c>
      <c r="D14" s="13">
        <f>IFERROR(VLOOKUP($A14,'Data Lists'!$A:$H,4,FALSE),"")</f>
        <v>2000</v>
      </c>
      <c r="E14" s="14">
        <f>IFERROR(VLOOKUP($A14,'Data Lists'!$A:$H,5,FALSE),"")</f>
        <v>-2000</v>
      </c>
      <c r="F14" s="21">
        <f>IF($A14="","",IFERROR(VLOOKUP($A14,'Data Lists'!$A:$H,6,FALSE),D14+E14))</f>
        <v>0</v>
      </c>
      <c r="G14" s="15" t="str">
        <f>IFERROR(VLOOKUP($A14,'Data Lists'!$A:$H,8,FALSE),"")</f>
        <v>Sawyer HOME quote</v>
      </c>
      <c r="H14" s="1"/>
      <c r="I14" s="1"/>
      <c r="J14" s="1"/>
      <c r="K14" s="1"/>
      <c r="L14" s="1"/>
      <c r="M14" s="1"/>
      <c r="N14" s="1"/>
      <c r="O14" s="1"/>
      <c r="P14" s="1"/>
      <c r="Q14" s="1"/>
      <c r="R14" s="1"/>
      <c r="S14" s="1"/>
      <c r="T14" s="1"/>
      <c r="U14" s="1"/>
      <c r="V14" s="1"/>
      <c r="W14" s="1"/>
      <c r="X14" s="1"/>
      <c r="Y14" s="1"/>
      <c r="Z14" s="1"/>
    </row>
    <row r="15" spans="1:26" ht="71.25">
      <c r="A15" s="27" t="s">
        <v>33</v>
      </c>
      <c r="B15" s="15" t="str">
        <f>IFERROR(VLOOKUP($A15,'Data Lists'!$A:$H,2,FALSE),"")</f>
        <v>Attic Insulation</v>
      </c>
      <c r="C15" s="10" t="str">
        <f>IFERROR(VLOOKUP($A15,'Data Lists'!$A:$H,3,FALSE),"")</f>
        <v>Location of insulation to be installed: Attic
Square feet of area to be insulated: 800 ft²
Type of Energy Star insulation: PINK Next Gen Owens Corning Batt Fiberglass Corning
Current R value: 12.15
Ending R value: 38</v>
      </c>
      <c r="D15" s="13">
        <f>IFERROR(VLOOKUP($A15,'Data Lists'!$A:$H,4,FALSE),"")</f>
        <v>1600</v>
      </c>
      <c r="E15" s="14">
        <f>IFERROR(VLOOKUP($A15,'Data Lists'!$A:$H,5,FALSE),"")</f>
        <v>-1600</v>
      </c>
      <c r="F15" s="21">
        <f>IF($A15="","",IFERROR(VLOOKUP($A15,'Data Lists'!$A:$H,6,FALSE),D15+E15))</f>
        <v>0</v>
      </c>
      <c r="G15" s="15" t="str">
        <f>IFERROR(VLOOKUP($A15,'Data Lists'!$A:$H,8,FALSE),"")</f>
        <v>Sawyer quote</v>
      </c>
      <c r="H15" s="1"/>
      <c r="I15" s="1"/>
      <c r="J15" s="1"/>
      <c r="K15" s="1"/>
      <c r="L15" s="1"/>
      <c r="M15" s="1"/>
      <c r="N15" s="1"/>
      <c r="O15" s="1"/>
      <c r="P15" s="1"/>
      <c r="Q15" s="1"/>
      <c r="R15" s="1"/>
      <c r="S15" s="1"/>
      <c r="T15" s="1"/>
      <c r="U15" s="1"/>
      <c r="V15" s="1"/>
      <c r="W15" s="1"/>
      <c r="X15" s="1"/>
      <c r="Y15" s="1"/>
      <c r="Z15" s="1"/>
    </row>
    <row r="16" spans="1:26" ht="85.5">
      <c r="A16" s="28" t="s">
        <v>59</v>
      </c>
      <c r="B16" s="24" t="str">
        <f>IFERROR(VLOOKUP($A16,'Data Lists'!$A:$H,2,FALSE),"")</f>
        <v>Electrical Panel</v>
      </c>
      <c r="C16" s="11" t="str">
        <f>IFERROR(VLOOKUP($A16,'Data Lists'!$A:$H,3,FALSE),"")</f>
        <v>Detailed description: Panel is not installed correctly. The panel box is over the breaker and impacting easy shut off.
Materials needed: New panel box, updated breakers
Specify main panel or sub panel: Main outside panel
Description of labor involved: Electrician will be updating the panel and breakers as required by the qualified equipment install.</v>
      </c>
      <c r="D16" s="12">
        <v>4000</v>
      </c>
      <c r="E16" s="12">
        <v>4000</v>
      </c>
      <c r="F16" s="21">
        <f>IF($A16="","",IFERROR(VLOOKUP($A16,'Data Lists'!$A:$H,6,FALSE),D16+E16))</f>
        <v>0</v>
      </c>
      <c r="G16" s="15" t="str">
        <f>IFERROR(VLOOKUP(#REF!,'Data Lists'!$A:$H,8,FALSE),"")</f>
        <v/>
      </c>
      <c r="H16" s="1"/>
      <c r="I16" s="1"/>
      <c r="J16" s="1"/>
      <c r="K16" s="1"/>
      <c r="L16" s="1"/>
      <c r="M16" s="1"/>
      <c r="N16" s="1"/>
      <c r="O16" s="1"/>
      <c r="P16" s="1"/>
      <c r="Q16" s="1"/>
      <c r="R16" s="1"/>
      <c r="S16" s="1"/>
      <c r="T16" s="1"/>
      <c r="U16" s="1"/>
      <c r="V16" s="1"/>
      <c r="W16" s="1"/>
      <c r="X16" s="1"/>
      <c r="Y16" s="1"/>
      <c r="Z16" s="1"/>
    </row>
    <row r="17" spans="1:26" ht="95.1" customHeight="1" thickBot="1">
      <c r="A17" s="29" t="s">
        <v>84</v>
      </c>
      <c r="B17" s="25" t="str">
        <f>IFERROR(VLOOKUP($A17,'Data Lists'!$A:$H,2,FALSE),"")</f>
        <v>Heat Pump Dryer</v>
      </c>
      <c r="C17" s="22" t="str">
        <f>IFERROR(VLOOKUP($A17,'Data Lists'!$A:$H,3,FALSE),"")</f>
        <v>Updating dryer to an Energy Star Heat Pump Dryer
Model DLHC1455W</v>
      </c>
      <c r="D17" s="30">
        <f>IFERROR(VLOOKUP($A17,'Data Lists'!$A:$H,4,FALSE),"")</f>
        <v>840</v>
      </c>
      <c r="E17" s="30">
        <f>IFERROR(VLOOKUP($A17,'Data Lists'!$A:$H,5,FALSE),"")</f>
        <v>-840</v>
      </c>
      <c r="F17" s="31">
        <f>IF($A17="","",IFERROR(VLOOKUP($A17,'Data Lists'!$A:$H,6,FALSE),D17+E17))</f>
        <v>0</v>
      </c>
      <c r="G17" s="15" t="str">
        <f>IFERROR(VLOOKUP($A16,'Data Lists'!$A:$H,8,FALSE),"")</f>
        <v>5213 Walnut material list</v>
      </c>
      <c r="H17" s="1"/>
      <c r="I17" s="1"/>
      <c r="J17" s="1"/>
      <c r="K17" s="1"/>
      <c r="L17" s="1"/>
      <c r="M17" s="1"/>
      <c r="N17" s="1"/>
      <c r="O17" s="1"/>
      <c r="P17" s="1"/>
      <c r="Q17" s="1"/>
      <c r="R17" s="1"/>
      <c r="S17" s="1"/>
      <c r="T17" s="1"/>
      <c r="U17" s="1"/>
      <c r="V17" s="1"/>
      <c r="W17" s="1"/>
      <c r="X17" s="1"/>
      <c r="Y17" s="1"/>
      <c r="Z17" s="1"/>
    </row>
    <row r="18" spans="1:26" ht="95.1" customHeight="1">
      <c r="G18" s="15" t="str">
        <f>IFERROR(VLOOKUP($A17,'Data Lists'!$A:$H,8,FALSE),"")</f>
        <v>5213 Walnut material list</v>
      </c>
      <c r="H18" s="1"/>
      <c r="I18" s="1"/>
      <c r="J18" s="1"/>
      <c r="K18" s="1"/>
      <c r="L18" s="1"/>
      <c r="M18" s="1"/>
      <c r="N18" s="1"/>
      <c r="O18" s="1"/>
      <c r="P18" s="1"/>
      <c r="Q18" s="1"/>
      <c r="R18" s="1"/>
      <c r="S18" s="1"/>
      <c r="T18" s="1"/>
      <c r="U18" s="1"/>
      <c r="V18" s="1"/>
      <c r="W18" s="1"/>
      <c r="X18" s="1"/>
      <c r="Y18" s="1"/>
      <c r="Z18" s="1"/>
    </row>
    <row r="19" spans="1:26" ht="95.1" customHeight="1">
      <c r="A19" s="1"/>
      <c r="B19" s="1"/>
      <c r="C19" s="1"/>
      <c r="D19" s="1"/>
      <c r="E19" s="1"/>
      <c r="F19" s="1"/>
      <c r="G19" s="1"/>
      <c r="H19" s="1"/>
      <c r="I19" s="1"/>
      <c r="J19" s="1"/>
      <c r="K19" s="1"/>
      <c r="L19" s="1"/>
      <c r="M19" s="1"/>
      <c r="N19" s="1"/>
      <c r="O19" s="1"/>
      <c r="P19" s="1"/>
      <c r="Q19" s="1"/>
      <c r="R19" s="1"/>
      <c r="S19" s="1"/>
    </row>
    <row r="20" spans="1:26" ht="95.1" customHeight="1">
      <c r="A20" s="1"/>
      <c r="B20" s="1"/>
      <c r="C20" s="1"/>
      <c r="D20" s="1"/>
      <c r="E20" s="1"/>
      <c r="F20" s="1"/>
      <c r="G20" s="1"/>
      <c r="H20" s="1"/>
      <c r="I20" s="1"/>
      <c r="J20" s="1"/>
      <c r="K20" s="1"/>
      <c r="L20" s="1"/>
      <c r="M20" s="1"/>
      <c r="N20" s="1"/>
      <c r="O20" s="1"/>
      <c r="P20" s="1"/>
      <c r="Q20" s="1"/>
      <c r="R20" s="1"/>
      <c r="S20" s="1"/>
    </row>
    <row r="21" spans="1:26" ht="95.1" customHeight="1">
      <c r="A21" s="1"/>
      <c r="B21" s="1"/>
      <c r="C21" s="1"/>
      <c r="D21" s="1"/>
      <c r="E21" s="1"/>
      <c r="F21" s="1"/>
      <c r="G21" s="1"/>
      <c r="H21" s="1"/>
      <c r="I21" s="1"/>
      <c r="J21" s="1"/>
      <c r="K21" s="1"/>
      <c r="L21" s="1"/>
      <c r="M21" s="1"/>
      <c r="N21" s="1"/>
      <c r="O21" s="1"/>
      <c r="P21" s="1"/>
      <c r="Q21" s="1"/>
      <c r="R21" s="1"/>
      <c r="S21" s="1"/>
    </row>
    <row r="22" spans="1:26" ht="95.1" customHeight="1">
      <c r="A22" s="1"/>
      <c r="B22" s="1"/>
      <c r="C22" s="1"/>
      <c r="D22" s="1"/>
      <c r="E22" s="1"/>
      <c r="F22" s="1"/>
      <c r="G22" s="1"/>
      <c r="H22" s="1"/>
      <c r="I22" s="1"/>
      <c r="J22" s="1"/>
      <c r="K22" s="1"/>
      <c r="L22" s="1"/>
      <c r="M22" s="1"/>
      <c r="N22" s="1"/>
      <c r="O22" s="1"/>
      <c r="P22" s="1"/>
      <c r="Q22" s="1"/>
      <c r="R22" s="1"/>
      <c r="S22" s="1"/>
    </row>
    <row r="23" spans="1:26" ht="95.1" customHeight="1">
      <c r="A23" s="1"/>
      <c r="B23" s="1"/>
      <c r="C23" s="1"/>
      <c r="D23" s="1"/>
      <c r="E23" s="1"/>
      <c r="F23" s="1"/>
      <c r="G23" s="1"/>
      <c r="H23" s="1"/>
      <c r="I23" s="1"/>
      <c r="J23" s="1"/>
      <c r="K23" s="1"/>
      <c r="L23" s="1"/>
      <c r="M23" s="1"/>
      <c r="N23" s="1"/>
      <c r="O23" s="1"/>
      <c r="P23" s="1"/>
      <c r="Q23" s="1"/>
      <c r="R23" s="1"/>
      <c r="S23" s="1"/>
    </row>
    <row r="24" spans="1:26" ht="95.1" customHeight="1">
      <c r="A24" s="1"/>
      <c r="B24" s="1"/>
      <c r="C24" s="1"/>
      <c r="D24" s="1"/>
      <c r="E24" s="1"/>
      <c r="F24" s="1"/>
      <c r="G24" s="1"/>
      <c r="H24" s="1"/>
      <c r="I24" s="1"/>
      <c r="J24" s="1"/>
      <c r="K24" s="1"/>
      <c r="L24" s="1"/>
      <c r="M24" s="1"/>
      <c r="N24" s="1"/>
      <c r="O24" s="1"/>
      <c r="P24" s="1"/>
      <c r="Q24" s="1"/>
      <c r="R24" s="1"/>
      <c r="S24" s="1"/>
    </row>
    <row r="25" spans="1:26" ht="95.1" customHeight="1">
      <c r="A25" s="1"/>
      <c r="B25" s="1"/>
      <c r="C25" s="1"/>
      <c r="D25" s="1"/>
      <c r="E25" s="1"/>
      <c r="F25" s="1"/>
      <c r="G25" s="1"/>
      <c r="H25" s="1"/>
      <c r="I25" s="1"/>
      <c r="J25" s="1"/>
      <c r="K25" s="1"/>
      <c r="L25" s="1"/>
      <c r="M25" s="1"/>
      <c r="N25" s="1"/>
      <c r="O25" s="1"/>
      <c r="P25" s="1"/>
      <c r="Q25" s="1"/>
      <c r="R25" s="1"/>
      <c r="S25" s="1"/>
    </row>
    <row r="26" spans="1:26">
      <c r="A26" s="1"/>
      <c r="B26" s="1"/>
      <c r="C26" s="1"/>
      <c r="D26" s="1"/>
      <c r="E26" s="1"/>
      <c r="F26" s="1"/>
      <c r="G26" s="1"/>
      <c r="H26" s="1"/>
      <c r="I26" s="1"/>
      <c r="J26" s="1"/>
      <c r="K26" s="1"/>
      <c r="L26" s="1"/>
      <c r="M26" s="1"/>
      <c r="N26" s="1"/>
      <c r="O26" s="1"/>
      <c r="P26" s="1"/>
      <c r="Q26" s="1"/>
      <c r="R26" s="1"/>
      <c r="S26" s="1"/>
    </row>
    <row r="27" spans="1:26">
      <c r="A27" s="1"/>
      <c r="B27" s="1"/>
      <c r="C27" s="1"/>
      <c r="D27" s="1"/>
      <c r="E27" s="1"/>
      <c r="F27" s="1"/>
      <c r="G27" s="1"/>
      <c r="H27" s="1"/>
      <c r="I27" s="1"/>
      <c r="J27" s="1"/>
      <c r="K27" s="1"/>
      <c r="L27" s="1"/>
      <c r="M27" s="1"/>
      <c r="N27" s="1"/>
      <c r="O27" s="1"/>
      <c r="P27" s="1"/>
      <c r="Q27" s="1"/>
      <c r="R27" s="1"/>
      <c r="S27" s="1"/>
    </row>
    <row r="28" spans="1:26">
      <c r="A28" s="1"/>
      <c r="B28" s="1"/>
      <c r="C28" s="1"/>
      <c r="D28" s="1"/>
      <c r="E28" s="1"/>
      <c r="F28" s="1"/>
      <c r="G28" s="1"/>
      <c r="H28" s="1"/>
      <c r="I28" s="1"/>
      <c r="J28" s="1"/>
      <c r="K28" s="1"/>
      <c r="L28" s="1"/>
      <c r="M28" s="1"/>
      <c r="N28" s="1"/>
      <c r="O28" s="1"/>
      <c r="P28" s="1"/>
      <c r="Q28" s="1"/>
      <c r="R28" s="1"/>
      <c r="S28" s="1"/>
    </row>
    <row r="29" spans="1:26">
      <c r="A29" s="1"/>
      <c r="B29" s="1"/>
      <c r="C29" s="1"/>
      <c r="D29" s="1"/>
      <c r="E29" s="1"/>
      <c r="F29" s="1"/>
      <c r="G29" s="1"/>
      <c r="H29" s="1"/>
      <c r="I29" s="1"/>
      <c r="J29" s="1"/>
      <c r="K29" s="1"/>
      <c r="L29" s="1"/>
      <c r="M29" s="1"/>
      <c r="N29" s="1"/>
      <c r="O29" s="1"/>
      <c r="P29" s="1"/>
      <c r="Q29" s="1"/>
      <c r="R29" s="1"/>
      <c r="S29" s="1"/>
    </row>
    <row r="30" spans="1:26">
      <c r="A30" s="1"/>
      <c r="B30" s="1"/>
      <c r="C30" s="1"/>
      <c r="D30" s="1"/>
      <c r="E30" s="1"/>
      <c r="F30" s="1"/>
      <c r="G30" s="1"/>
      <c r="H30" s="1"/>
      <c r="I30" s="1"/>
      <c r="J30" s="1"/>
      <c r="K30" s="1"/>
      <c r="L30" s="1"/>
      <c r="M30" s="1"/>
      <c r="N30" s="1"/>
      <c r="O30" s="1"/>
      <c r="P30" s="1"/>
      <c r="Q30" s="1"/>
      <c r="R30" s="1"/>
      <c r="S30" s="1"/>
    </row>
    <row r="31" spans="1:26">
      <c r="A31" s="1"/>
      <c r="B31" s="1"/>
      <c r="C31" s="1"/>
      <c r="D31" s="1"/>
      <c r="E31" s="1"/>
      <c r="F31" s="1"/>
      <c r="G31" s="1"/>
      <c r="H31" s="1"/>
      <c r="I31" s="1"/>
      <c r="J31" s="1"/>
      <c r="K31" s="1"/>
      <c r="L31" s="1"/>
      <c r="M31" s="1"/>
      <c r="N31" s="1"/>
      <c r="O31" s="1"/>
      <c r="P31" s="1"/>
      <c r="Q31" s="1"/>
      <c r="R31" s="1"/>
      <c r="S31" s="1"/>
    </row>
    <row r="32" spans="1:26">
      <c r="A32" s="1"/>
      <c r="B32" s="1"/>
      <c r="C32" s="1"/>
      <c r="D32" s="1"/>
      <c r="E32" s="1"/>
      <c r="F32" s="1"/>
      <c r="G32" s="1"/>
      <c r="H32" s="1"/>
      <c r="I32" s="1"/>
      <c r="J32" s="1"/>
      <c r="K32" s="1"/>
      <c r="L32" s="1"/>
      <c r="M32" s="1"/>
      <c r="N32" s="1"/>
      <c r="O32" s="1"/>
      <c r="P32" s="1"/>
      <c r="Q32" s="1"/>
      <c r="R32" s="1"/>
      <c r="S32" s="1"/>
    </row>
    <row r="33" spans="1:19">
      <c r="A33" s="1"/>
      <c r="B33" s="1"/>
      <c r="C33" s="1"/>
      <c r="D33" s="1"/>
      <c r="E33" s="1"/>
      <c r="F33" s="1"/>
      <c r="G33" s="1"/>
      <c r="H33" s="1"/>
      <c r="I33" s="1"/>
      <c r="J33" s="1"/>
      <c r="K33" s="1"/>
      <c r="L33" s="1"/>
      <c r="M33" s="1"/>
      <c r="N33" s="1"/>
      <c r="O33" s="1"/>
      <c r="P33" s="1"/>
      <c r="Q33" s="1"/>
      <c r="R33" s="1"/>
      <c r="S33" s="1"/>
    </row>
    <row r="34" spans="1:19">
      <c r="A34" s="1"/>
      <c r="B34" s="1"/>
      <c r="C34" s="1"/>
      <c r="D34" s="1"/>
      <c r="E34" s="1"/>
      <c r="F34" s="1"/>
      <c r="G34" s="1"/>
      <c r="H34" s="1"/>
      <c r="I34" s="1"/>
      <c r="J34" s="1"/>
      <c r="K34" s="1"/>
      <c r="L34" s="1"/>
      <c r="M34" s="1"/>
      <c r="N34" s="1"/>
      <c r="O34" s="1"/>
      <c r="P34" s="1"/>
      <c r="Q34" s="1"/>
      <c r="R34" s="1"/>
      <c r="S34" s="1"/>
    </row>
    <row r="35" spans="1:19">
      <c r="A35" s="1"/>
      <c r="B35" s="1"/>
      <c r="C35" s="1"/>
      <c r="D35" s="1"/>
      <c r="E35" s="1"/>
      <c r="F35" s="1"/>
      <c r="G35" s="1"/>
      <c r="H35" s="1"/>
      <c r="I35" s="1"/>
      <c r="J35" s="1"/>
      <c r="K35" s="1"/>
      <c r="L35" s="1"/>
      <c r="M35" s="1"/>
      <c r="N35" s="1"/>
      <c r="O35" s="1"/>
      <c r="P35" s="1"/>
      <c r="Q35" s="1"/>
      <c r="R35" s="1"/>
      <c r="S35" s="1"/>
    </row>
    <row r="36" spans="1:19">
      <c r="A36" s="1"/>
      <c r="B36" s="1"/>
      <c r="C36" s="1"/>
      <c r="D36" s="1"/>
      <c r="E36" s="1"/>
      <c r="F36" s="1"/>
      <c r="G36" s="1"/>
      <c r="H36" s="1"/>
      <c r="I36" s="1"/>
      <c r="J36" s="1"/>
      <c r="K36" s="1"/>
      <c r="L36" s="1"/>
      <c r="M36" s="1"/>
      <c r="N36" s="1"/>
      <c r="O36" s="1"/>
      <c r="P36" s="1"/>
      <c r="Q36" s="1"/>
      <c r="R36" s="1"/>
      <c r="S36" s="1"/>
    </row>
    <row r="37" spans="1:19">
      <c r="A37" s="1"/>
      <c r="B37" s="1"/>
      <c r="C37" s="1"/>
      <c r="D37" s="1"/>
      <c r="E37" s="1"/>
      <c r="F37" s="1"/>
      <c r="G37" s="1"/>
      <c r="H37" s="1"/>
      <c r="I37" s="1"/>
      <c r="J37" s="1"/>
      <c r="K37" s="1"/>
      <c r="L37" s="1"/>
      <c r="M37" s="1"/>
      <c r="N37" s="1"/>
      <c r="O37" s="1"/>
      <c r="P37" s="1"/>
      <c r="Q37" s="1"/>
      <c r="R37" s="1"/>
      <c r="S37" s="1"/>
    </row>
    <row r="38" spans="1:19">
      <c r="A38" s="1"/>
      <c r="B38" s="1"/>
      <c r="C38" s="1"/>
      <c r="D38" s="1"/>
      <c r="E38" s="1"/>
      <c r="F38" s="1"/>
      <c r="G38" s="1"/>
      <c r="H38" s="1"/>
      <c r="I38" s="1"/>
      <c r="J38" s="1"/>
      <c r="K38" s="1"/>
      <c r="L38" s="1"/>
      <c r="M38" s="1"/>
      <c r="N38" s="1"/>
      <c r="O38" s="1"/>
      <c r="P38" s="1"/>
      <c r="Q38" s="1"/>
      <c r="R38" s="1"/>
      <c r="S38" s="1"/>
    </row>
    <row r="39" spans="1:19">
      <c r="A39" s="1"/>
      <c r="B39" s="1"/>
      <c r="C39" s="1"/>
      <c r="D39" s="1"/>
      <c r="E39" s="1"/>
      <c r="F39" s="1"/>
      <c r="G39" s="1"/>
      <c r="H39" s="1"/>
      <c r="I39" s="1"/>
      <c r="J39" s="1"/>
      <c r="K39" s="1"/>
      <c r="L39" s="1"/>
      <c r="M39" s="1"/>
      <c r="N39" s="1"/>
      <c r="O39" s="1"/>
      <c r="P39" s="1"/>
      <c r="Q39" s="1"/>
      <c r="R39" s="1"/>
      <c r="S39" s="1"/>
    </row>
    <row r="40" spans="1:19">
      <c r="A40" s="1"/>
      <c r="B40" s="1"/>
      <c r="C40" s="1"/>
      <c r="D40" s="1"/>
      <c r="E40" s="1"/>
      <c r="F40" s="1"/>
      <c r="G40" s="1"/>
      <c r="H40" s="1"/>
      <c r="I40" s="1"/>
      <c r="J40" s="1"/>
      <c r="K40" s="1"/>
      <c r="L40" s="1"/>
      <c r="M40" s="1"/>
      <c r="N40" s="1"/>
      <c r="O40" s="1"/>
      <c r="P40" s="1"/>
      <c r="Q40" s="1"/>
      <c r="R40" s="1"/>
      <c r="S40" s="1"/>
    </row>
    <row r="41" spans="1:19">
      <c r="A41" s="1"/>
      <c r="B41" s="1"/>
      <c r="C41" s="1"/>
      <c r="D41" s="1"/>
      <c r="E41" s="1"/>
      <c r="F41" s="1"/>
      <c r="G41" s="1"/>
      <c r="H41" s="1"/>
      <c r="I41" s="1"/>
      <c r="J41" s="1"/>
      <c r="K41" s="1"/>
      <c r="L41" s="1"/>
      <c r="M41" s="1"/>
      <c r="N41" s="1"/>
      <c r="O41" s="1"/>
      <c r="P41" s="1"/>
      <c r="Q41" s="1"/>
      <c r="R41" s="1"/>
      <c r="S41" s="1"/>
    </row>
    <row r="42" spans="1:19">
      <c r="A42" s="1"/>
      <c r="B42" s="1"/>
      <c r="C42" s="1"/>
      <c r="D42" s="1"/>
      <c r="E42" s="1"/>
      <c r="F42" s="1"/>
      <c r="G42" s="1"/>
      <c r="H42" s="1"/>
      <c r="I42" s="1"/>
      <c r="J42" s="1"/>
      <c r="K42" s="1"/>
      <c r="L42" s="1"/>
      <c r="M42" s="1"/>
      <c r="N42" s="1"/>
      <c r="O42" s="1"/>
      <c r="P42" s="1"/>
      <c r="Q42" s="1"/>
      <c r="R42" s="1"/>
      <c r="S42" s="1"/>
    </row>
    <row r="43" spans="1:19">
      <c r="A43" s="1"/>
      <c r="B43" s="1"/>
      <c r="C43" s="1"/>
      <c r="D43" s="1"/>
      <c r="E43" s="1"/>
      <c r="F43" s="1"/>
      <c r="G43" s="1"/>
      <c r="H43" s="1"/>
      <c r="I43" s="1"/>
      <c r="J43" s="1"/>
      <c r="K43" s="1"/>
      <c r="L43" s="1"/>
      <c r="M43" s="1"/>
      <c r="N43" s="1"/>
      <c r="O43" s="1"/>
      <c r="P43" s="1"/>
      <c r="Q43" s="1"/>
      <c r="R43" s="1"/>
      <c r="S43" s="1"/>
    </row>
    <row r="44" spans="1:19">
      <c r="A44" s="1"/>
      <c r="B44" s="1"/>
      <c r="C44" s="1"/>
      <c r="D44" s="1"/>
      <c r="E44" s="1"/>
      <c r="F44" s="1"/>
      <c r="G44" s="1"/>
      <c r="H44" s="1"/>
      <c r="I44" s="1"/>
      <c r="J44" s="1"/>
      <c r="K44" s="1"/>
      <c r="L44" s="1"/>
      <c r="M44" s="1"/>
      <c r="N44" s="1"/>
      <c r="O44" s="1"/>
      <c r="P44" s="1"/>
      <c r="Q44" s="1"/>
      <c r="R44" s="1"/>
      <c r="S44" s="1"/>
    </row>
    <row r="45" spans="1:19">
      <c r="A45" s="1"/>
      <c r="B45" s="1"/>
      <c r="C45" s="1"/>
      <c r="D45" s="1"/>
      <c r="E45" s="1"/>
      <c r="F45" s="1"/>
      <c r="G45" s="1"/>
      <c r="H45" s="1"/>
      <c r="I45" s="1"/>
      <c r="J45" s="1"/>
      <c r="K45" s="1"/>
      <c r="L45" s="1"/>
      <c r="M45" s="1"/>
      <c r="N45" s="1"/>
      <c r="O45" s="1"/>
      <c r="P45" s="1"/>
      <c r="Q45" s="1"/>
      <c r="R45" s="1"/>
      <c r="S45" s="1"/>
    </row>
    <row r="46" spans="1:19">
      <c r="A46" s="1"/>
      <c r="B46" s="1"/>
      <c r="C46" s="1"/>
      <c r="D46" s="1"/>
      <c r="E46" s="1"/>
      <c r="F46" s="1"/>
      <c r="G46" s="1"/>
      <c r="H46" s="1"/>
      <c r="I46" s="1"/>
      <c r="J46" s="1"/>
      <c r="K46" s="1"/>
      <c r="L46" s="1"/>
      <c r="M46" s="1"/>
      <c r="N46" s="1"/>
      <c r="O46" s="1"/>
      <c r="P46" s="1"/>
      <c r="Q46" s="1"/>
      <c r="R46" s="1"/>
      <c r="S46" s="1"/>
    </row>
    <row r="47" spans="1:19">
      <c r="A47" s="1"/>
      <c r="B47" s="1"/>
      <c r="C47" s="1"/>
      <c r="D47" s="1"/>
      <c r="E47" s="1"/>
      <c r="F47" s="1"/>
      <c r="G47" s="1"/>
      <c r="H47" s="1"/>
      <c r="I47" s="1"/>
      <c r="J47" s="1"/>
      <c r="K47" s="1"/>
      <c r="L47" s="1"/>
      <c r="M47" s="1"/>
      <c r="N47" s="1"/>
      <c r="O47" s="1"/>
      <c r="P47" s="1"/>
      <c r="Q47" s="1"/>
      <c r="R47" s="1"/>
      <c r="S47" s="1"/>
    </row>
    <row r="48" spans="1:19">
      <c r="A48" s="1"/>
      <c r="B48" s="1"/>
      <c r="C48" s="1"/>
      <c r="D48" s="1"/>
      <c r="E48" s="1"/>
      <c r="F48" s="1"/>
      <c r="G48" s="1"/>
      <c r="H48" s="1"/>
      <c r="I48" s="1"/>
      <c r="J48" s="1"/>
      <c r="K48" s="1"/>
      <c r="L48" s="1"/>
      <c r="M48" s="1"/>
      <c r="N48" s="1"/>
      <c r="O48" s="1"/>
      <c r="P48" s="1"/>
      <c r="Q48" s="1"/>
      <c r="R48" s="1"/>
      <c r="S48" s="1"/>
    </row>
    <row r="49" spans="1:19">
      <c r="A49" s="1"/>
      <c r="B49" s="1"/>
      <c r="C49" s="1"/>
      <c r="D49" s="1"/>
      <c r="E49" s="1"/>
      <c r="F49" s="1"/>
      <c r="G49" s="1"/>
      <c r="H49" s="1"/>
      <c r="I49" s="1"/>
      <c r="J49" s="1"/>
      <c r="K49" s="1"/>
      <c r="L49" s="1"/>
      <c r="M49" s="1"/>
      <c r="N49" s="1"/>
      <c r="O49" s="1"/>
      <c r="P49" s="1"/>
      <c r="Q49" s="1"/>
      <c r="R49" s="1"/>
      <c r="S49" s="1"/>
    </row>
    <row r="50" spans="1:19">
      <c r="A50" s="1"/>
      <c r="B50" s="1"/>
      <c r="C50" s="1"/>
      <c r="D50" s="1"/>
      <c r="E50" s="1"/>
      <c r="F50" s="1"/>
      <c r="G50" s="1"/>
      <c r="H50" s="1"/>
      <c r="I50" s="1"/>
      <c r="J50" s="1"/>
      <c r="K50" s="1"/>
      <c r="L50" s="1"/>
      <c r="M50" s="1"/>
      <c r="N50" s="1"/>
      <c r="O50" s="1"/>
      <c r="P50" s="1"/>
      <c r="Q50" s="1"/>
      <c r="R50" s="1"/>
      <c r="S50" s="1"/>
    </row>
    <row r="51" spans="1:19">
      <c r="A51" s="1"/>
      <c r="B51" s="1"/>
      <c r="C51" s="1"/>
      <c r="D51" s="1"/>
      <c r="E51" s="1"/>
      <c r="F51" s="1"/>
      <c r="G51" s="1"/>
      <c r="H51" s="1"/>
      <c r="I51" s="1"/>
      <c r="J51" s="1"/>
      <c r="K51" s="1"/>
      <c r="L51" s="1"/>
      <c r="M51" s="1"/>
      <c r="N51" s="1"/>
      <c r="O51" s="1"/>
      <c r="P51" s="1"/>
      <c r="Q51" s="1"/>
      <c r="R51" s="1"/>
      <c r="S51" s="1"/>
    </row>
    <row r="52" spans="1:19">
      <c r="A52" s="1"/>
      <c r="B52" s="1"/>
      <c r="C52" s="1"/>
      <c r="D52" s="1"/>
      <c r="E52" s="1"/>
      <c r="F52" s="1"/>
      <c r="G52" s="1"/>
      <c r="H52" s="1"/>
      <c r="I52" s="1"/>
      <c r="J52" s="1"/>
      <c r="K52" s="1"/>
      <c r="L52" s="1"/>
      <c r="M52" s="1"/>
      <c r="N52" s="1"/>
      <c r="O52" s="1"/>
      <c r="P52" s="1"/>
      <c r="Q52" s="1"/>
      <c r="R52" s="1"/>
      <c r="S52" s="1"/>
    </row>
    <row r="53" spans="1:19">
      <c r="A53" s="1"/>
      <c r="B53" s="1"/>
      <c r="C53" s="1"/>
      <c r="D53" s="1"/>
      <c r="E53" s="1"/>
      <c r="F53" s="1"/>
      <c r="G53" s="1"/>
      <c r="H53" s="1"/>
      <c r="I53" s="1"/>
      <c r="J53" s="1"/>
      <c r="K53" s="1"/>
      <c r="L53" s="1"/>
      <c r="M53" s="1"/>
      <c r="N53" s="1"/>
      <c r="O53" s="1"/>
      <c r="P53" s="1"/>
      <c r="Q53" s="1"/>
      <c r="R53" s="1"/>
      <c r="S53" s="1"/>
    </row>
    <row r="54" spans="1:19">
      <c r="A54" s="1"/>
      <c r="B54" s="1"/>
      <c r="C54" s="1"/>
      <c r="D54" s="1"/>
      <c r="E54" s="1"/>
      <c r="F54" s="1"/>
      <c r="G54" s="1"/>
      <c r="H54" s="1"/>
      <c r="I54" s="1"/>
      <c r="J54" s="1"/>
      <c r="K54" s="1"/>
      <c r="L54" s="1"/>
      <c r="M54" s="1"/>
      <c r="N54" s="1"/>
      <c r="O54" s="1"/>
      <c r="P54" s="1"/>
      <c r="Q54" s="1"/>
      <c r="R54" s="1"/>
      <c r="S54" s="1"/>
    </row>
    <row r="55" spans="1:19">
      <c r="A55" s="1"/>
      <c r="B55" s="1"/>
      <c r="C55" s="1"/>
      <c r="D55" s="1"/>
      <c r="E55" s="1"/>
      <c r="F55" s="1"/>
      <c r="G55" s="1"/>
      <c r="H55" s="1"/>
      <c r="I55" s="1"/>
      <c r="J55" s="1"/>
      <c r="K55" s="1"/>
      <c r="L55" s="1"/>
      <c r="M55" s="1"/>
      <c r="N55" s="1"/>
      <c r="O55" s="1"/>
      <c r="P55" s="1"/>
      <c r="Q55" s="1"/>
      <c r="R55" s="1"/>
      <c r="S55" s="1"/>
    </row>
    <row r="56" spans="1:19">
      <c r="A56" s="1"/>
      <c r="B56" s="1"/>
      <c r="C56" s="1"/>
      <c r="D56" s="1"/>
      <c r="E56" s="1"/>
      <c r="F56" s="1"/>
      <c r="G56" s="1"/>
      <c r="H56" s="1"/>
      <c r="I56" s="1"/>
      <c r="J56" s="1"/>
      <c r="K56" s="1"/>
      <c r="L56" s="1"/>
      <c r="M56" s="1"/>
      <c r="N56" s="1"/>
      <c r="O56" s="1"/>
      <c r="P56" s="1"/>
      <c r="Q56" s="1"/>
      <c r="R56" s="1"/>
      <c r="S56" s="1"/>
    </row>
    <row r="57" spans="1:19">
      <c r="A57" s="1"/>
      <c r="B57" s="1"/>
      <c r="C57" s="1"/>
      <c r="D57" s="1"/>
      <c r="E57" s="1"/>
      <c r="F57" s="1"/>
      <c r="G57" s="1"/>
      <c r="H57" s="1"/>
      <c r="I57" s="1"/>
      <c r="J57" s="1"/>
      <c r="K57" s="1"/>
      <c r="L57" s="1"/>
      <c r="M57" s="1"/>
      <c r="N57" s="1"/>
      <c r="O57" s="1"/>
      <c r="P57" s="1"/>
      <c r="Q57" s="1"/>
      <c r="R57" s="1"/>
      <c r="S57" s="1"/>
    </row>
    <row r="58" spans="1:19">
      <c r="A58" s="1"/>
      <c r="B58" s="1"/>
      <c r="C58" s="1"/>
      <c r="D58" s="1"/>
      <c r="E58" s="1"/>
      <c r="F58" s="1"/>
      <c r="G58" s="1"/>
      <c r="H58" s="1"/>
      <c r="I58" s="1"/>
      <c r="J58" s="1"/>
      <c r="K58" s="1"/>
      <c r="L58" s="1"/>
      <c r="M58" s="1"/>
      <c r="N58" s="1"/>
      <c r="O58" s="1"/>
      <c r="P58" s="1"/>
      <c r="Q58" s="1"/>
      <c r="R58" s="1"/>
      <c r="S58" s="1"/>
    </row>
    <row r="59" spans="1:19">
      <c r="A59" s="1"/>
      <c r="B59" s="1"/>
      <c r="C59" s="1"/>
      <c r="D59" s="1"/>
      <c r="E59" s="1"/>
      <c r="F59" s="1"/>
      <c r="G59" s="1"/>
      <c r="H59" s="1"/>
      <c r="I59" s="1"/>
      <c r="J59" s="1"/>
      <c r="K59" s="1"/>
      <c r="L59" s="1"/>
      <c r="M59" s="1"/>
      <c r="N59" s="1"/>
      <c r="O59" s="1"/>
      <c r="P59" s="1"/>
      <c r="Q59" s="1"/>
      <c r="R59" s="1"/>
      <c r="S59" s="1"/>
    </row>
    <row r="60" spans="1:19">
      <c r="A60" s="1"/>
      <c r="B60" s="1"/>
      <c r="C60" s="1"/>
      <c r="D60" s="1"/>
      <c r="E60" s="1"/>
      <c r="F60" s="1"/>
      <c r="G60" s="1"/>
      <c r="H60" s="1"/>
      <c r="I60" s="1"/>
      <c r="J60" s="1"/>
      <c r="K60" s="1"/>
      <c r="L60" s="1"/>
      <c r="M60" s="1"/>
      <c r="N60" s="1"/>
      <c r="O60" s="1"/>
      <c r="P60" s="1"/>
      <c r="Q60" s="1"/>
      <c r="R60" s="1"/>
      <c r="S60" s="1"/>
    </row>
    <row r="61" spans="1:19">
      <c r="A61" s="1"/>
      <c r="B61" s="1"/>
      <c r="C61" s="1"/>
      <c r="D61" s="1"/>
      <c r="E61" s="1"/>
      <c r="F61" s="1"/>
      <c r="G61" s="1"/>
      <c r="H61" s="1"/>
      <c r="I61" s="1"/>
      <c r="J61" s="1"/>
      <c r="K61" s="1"/>
      <c r="L61" s="1"/>
      <c r="M61" s="1"/>
      <c r="N61" s="1"/>
      <c r="O61" s="1"/>
      <c r="P61" s="1"/>
      <c r="Q61" s="1"/>
      <c r="R61" s="1"/>
      <c r="S61" s="1"/>
    </row>
    <row r="62" spans="1:19">
      <c r="A62" s="1"/>
      <c r="B62" s="1"/>
      <c r="C62" s="1"/>
      <c r="D62" s="1"/>
      <c r="E62" s="1"/>
      <c r="F62" s="1"/>
      <c r="G62" s="1"/>
      <c r="H62" s="1"/>
      <c r="I62" s="1"/>
      <c r="J62" s="1"/>
      <c r="K62" s="1"/>
      <c r="L62" s="1"/>
      <c r="M62" s="1"/>
      <c r="N62" s="1"/>
      <c r="O62" s="1"/>
      <c r="P62" s="1"/>
      <c r="Q62" s="1"/>
      <c r="R62" s="1"/>
      <c r="S62" s="1"/>
    </row>
    <row r="63" spans="1:19">
      <c r="A63" s="1"/>
      <c r="B63" s="1"/>
      <c r="C63" s="1"/>
      <c r="D63" s="1"/>
      <c r="E63" s="1"/>
      <c r="F63" s="1"/>
      <c r="G63" s="1"/>
      <c r="H63" s="1"/>
      <c r="I63" s="1"/>
      <c r="J63" s="1"/>
      <c r="K63" s="1"/>
      <c r="L63" s="1"/>
      <c r="M63" s="1"/>
      <c r="N63" s="1"/>
      <c r="O63" s="1"/>
      <c r="P63" s="1"/>
      <c r="Q63" s="1"/>
      <c r="R63" s="1"/>
      <c r="S63" s="1"/>
    </row>
    <row r="64" spans="1:19">
      <c r="A64" s="1"/>
      <c r="B64" s="1"/>
      <c r="C64" s="1"/>
      <c r="D64" s="1"/>
      <c r="E64" s="1"/>
      <c r="F64" s="1"/>
      <c r="G64" s="1"/>
      <c r="H64" s="1"/>
      <c r="I64" s="1"/>
      <c r="J64" s="1"/>
      <c r="K64" s="1"/>
      <c r="L64" s="1"/>
      <c r="M64" s="1"/>
      <c r="N64" s="1"/>
      <c r="O64" s="1"/>
      <c r="P64" s="1"/>
      <c r="Q64" s="1"/>
      <c r="R64" s="1"/>
      <c r="S64" s="1"/>
    </row>
    <row r="65" spans="1:19">
      <c r="A65" s="1"/>
      <c r="B65" s="1"/>
      <c r="C65" s="1"/>
      <c r="D65" s="1"/>
      <c r="E65" s="1"/>
      <c r="F65" s="1"/>
      <c r="G65" s="1"/>
      <c r="H65" s="1"/>
      <c r="I65" s="1"/>
      <c r="J65" s="1"/>
      <c r="K65" s="1"/>
      <c r="L65" s="1"/>
      <c r="M65" s="1"/>
      <c r="N65" s="1"/>
      <c r="O65" s="1"/>
      <c r="P65" s="1"/>
      <c r="Q65" s="1"/>
      <c r="R65" s="1"/>
      <c r="S65" s="1"/>
    </row>
    <row r="66" spans="1:19">
      <c r="A66" s="1"/>
      <c r="B66" s="1"/>
      <c r="C66" s="1"/>
      <c r="D66" s="1"/>
      <c r="E66" s="1"/>
      <c r="F66" s="1"/>
      <c r="G66" s="1"/>
      <c r="H66" s="1"/>
      <c r="I66" s="1"/>
      <c r="J66" s="1"/>
      <c r="K66" s="1"/>
      <c r="L66" s="1"/>
      <c r="M66" s="1"/>
      <c r="N66" s="1"/>
      <c r="O66" s="1"/>
      <c r="P66" s="1"/>
      <c r="Q66" s="1"/>
      <c r="R66" s="1"/>
      <c r="S66" s="1"/>
    </row>
    <row r="67" spans="1:19">
      <c r="A67" s="1"/>
      <c r="B67" s="1"/>
      <c r="C67" s="1"/>
      <c r="D67" s="1"/>
      <c r="E67" s="1"/>
      <c r="F67" s="1"/>
      <c r="G67" s="1"/>
      <c r="H67" s="1"/>
      <c r="I67" s="1"/>
      <c r="J67" s="1"/>
      <c r="K67" s="1"/>
      <c r="L67" s="1"/>
      <c r="M67" s="1"/>
      <c r="N67" s="1"/>
      <c r="O67" s="1"/>
      <c r="P67" s="1"/>
      <c r="Q67" s="1"/>
      <c r="R67" s="1"/>
      <c r="S67" s="1"/>
    </row>
    <row r="68" spans="1:19">
      <c r="A68" s="1"/>
      <c r="B68" s="1"/>
      <c r="C68" s="1"/>
      <c r="D68" s="1"/>
      <c r="E68" s="1"/>
      <c r="F68" s="1"/>
      <c r="G68" s="1"/>
      <c r="H68" s="1"/>
      <c r="I68" s="1"/>
      <c r="J68" s="1"/>
      <c r="K68" s="1"/>
      <c r="L68" s="1"/>
      <c r="M68" s="1"/>
      <c r="N68" s="1"/>
      <c r="O68" s="1"/>
      <c r="P68" s="1"/>
      <c r="Q68" s="1"/>
      <c r="R68" s="1"/>
      <c r="S68" s="1"/>
    </row>
    <row r="69" spans="1:19">
      <c r="A69" s="1"/>
      <c r="B69" s="1"/>
      <c r="C69" s="1"/>
      <c r="D69" s="1"/>
      <c r="E69" s="1"/>
      <c r="F69" s="1"/>
      <c r="G69" s="1"/>
      <c r="H69" s="1"/>
      <c r="I69" s="1"/>
      <c r="J69" s="1"/>
      <c r="K69" s="1"/>
      <c r="L69" s="1"/>
      <c r="M69" s="1"/>
      <c r="N69" s="1"/>
      <c r="O69" s="1"/>
      <c r="P69" s="1"/>
      <c r="Q69" s="1"/>
      <c r="R69" s="1"/>
      <c r="S69" s="1"/>
    </row>
    <row r="70" spans="1:19">
      <c r="A70" s="1"/>
      <c r="B70" s="1"/>
      <c r="C70" s="1"/>
      <c r="D70" s="1"/>
      <c r="E70" s="1"/>
      <c r="F70" s="1"/>
      <c r="G70" s="1"/>
      <c r="H70" s="1"/>
      <c r="I70" s="1"/>
      <c r="J70" s="1"/>
      <c r="K70" s="1"/>
      <c r="L70" s="1"/>
      <c r="M70" s="1"/>
      <c r="N70" s="1"/>
      <c r="O70" s="1"/>
      <c r="P70" s="1"/>
      <c r="Q70" s="1"/>
      <c r="R70" s="1"/>
      <c r="S70" s="1"/>
    </row>
    <row r="71" spans="1:19">
      <c r="A71" s="1"/>
      <c r="B71" s="1"/>
      <c r="C71" s="1"/>
      <c r="D71" s="1"/>
      <c r="E71" s="1"/>
      <c r="F71" s="1"/>
      <c r="G71" s="1"/>
      <c r="H71" s="1"/>
      <c r="I71" s="1"/>
      <c r="J71" s="1"/>
      <c r="K71" s="1"/>
      <c r="L71" s="1"/>
      <c r="M71" s="1"/>
      <c r="N71" s="1"/>
      <c r="O71" s="1"/>
      <c r="P71" s="1"/>
      <c r="Q71" s="1"/>
      <c r="R71" s="1"/>
      <c r="S71" s="1"/>
    </row>
    <row r="72" spans="1:19">
      <c r="A72" s="1"/>
      <c r="B72" s="1"/>
      <c r="C72" s="1"/>
      <c r="D72" s="1"/>
      <c r="E72" s="1"/>
      <c r="F72" s="1"/>
      <c r="G72" s="1"/>
      <c r="H72" s="1"/>
      <c r="I72" s="1"/>
      <c r="J72" s="1"/>
      <c r="K72" s="1"/>
      <c r="L72" s="1"/>
      <c r="M72" s="1"/>
      <c r="N72" s="1"/>
      <c r="O72" s="1"/>
      <c r="P72" s="1"/>
      <c r="Q72" s="1"/>
      <c r="R72" s="1"/>
      <c r="S72" s="1"/>
    </row>
    <row r="73" spans="1:19">
      <c r="A73" s="1"/>
      <c r="B73" s="1"/>
      <c r="C73" s="1"/>
      <c r="D73" s="1"/>
      <c r="E73" s="1"/>
      <c r="F73" s="1"/>
      <c r="G73" s="1"/>
      <c r="H73" s="1"/>
      <c r="I73" s="1"/>
      <c r="J73" s="1"/>
      <c r="K73" s="1"/>
      <c r="L73" s="1"/>
      <c r="M73" s="1"/>
      <c r="N73" s="1"/>
      <c r="O73" s="1"/>
      <c r="P73" s="1"/>
      <c r="Q73" s="1"/>
      <c r="R73" s="1"/>
      <c r="S73" s="1"/>
    </row>
    <row r="74" spans="1:19">
      <c r="A74" s="1"/>
      <c r="B74" s="1"/>
      <c r="C74" s="1"/>
      <c r="D74" s="1"/>
      <c r="E74" s="1"/>
      <c r="F74" s="1"/>
      <c r="G74" s="1"/>
      <c r="H74" s="1"/>
      <c r="I74" s="1"/>
      <c r="J74" s="1"/>
      <c r="K74" s="1"/>
      <c r="L74" s="1"/>
      <c r="M74" s="1"/>
      <c r="N74" s="1"/>
      <c r="O74" s="1"/>
      <c r="P74" s="1"/>
      <c r="Q74" s="1"/>
      <c r="R74" s="1"/>
      <c r="S74" s="1"/>
    </row>
    <row r="75" spans="1:19">
      <c r="A75" s="1"/>
      <c r="B75" s="1"/>
      <c r="C75" s="1"/>
      <c r="D75" s="1"/>
      <c r="E75" s="1"/>
      <c r="F75" s="1"/>
      <c r="G75" s="1"/>
      <c r="H75" s="1"/>
      <c r="I75" s="1"/>
      <c r="J75" s="1"/>
      <c r="K75" s="1"/>
      <c r="L75" s="1"/>
      <c r="M75" s="1"/>
      <c r="N75" s="1"/>
      <c r="O75" s="1"/>
      <c r="P75" s="1"/>
      <c r="Q75" s="1"/>
      <c r="R75" s="1"/>
      <c r="S75" s="1"/>
    </row>
    <row r="76" spans="1:19">
      <c r="A76" s="1"/>
      <c r="B76" s="1"/>
      <c r="C76" s="1"/>
      <c r="D76" s="1"/>
      <c r="E76" s="1"/>
      <c r="F76" s="1"/>
      <c r="G76" s="1"/>
      <c r="H76" s="1"/>
      <c r="I76" s="1"/>
      <c r="J76" s="1"/>
      <c r="K76" s="1"/>
      <c r="L76" s="1"/>
      <c r="M76" s="1"/>
      <c r="N76" s="1"/>
      <c r="O76" s="1"/>
      <c r="P76" s="1"/>
      <c r="Q76" s="1"/>
      <c r="R76" s="1"/>
      <c r="S76" s="1"/>
    </row>
    <row r="77" spans="1:19">
      <c r="A77" s="1"/>
      <c r="B77" s="1"/>
      <c r="C77" s="1"/>
      <c r="D77" s="1"/>
      <c r="E77" s="1"/>
      <c r="F77" s="1"/>
      <c r="G77" s="1"/>
      <c r="H77" s="1"/>
      <c r="I77" s="1"/>
      <c r="J77" s="1"/>
      <c r="K77" s="1"/>
      <c r="L77" s="1"/>
      <c r="M77" s="1"/>
      <c r="N77" s="1"/>
      <c r="O77" s="1"/>
      <c r="P77" s="1"/>
      <c r="Q77" s="1"/>
      <c r="R77" s="1"/>
      <c r="S77" s="1"/>
    </row>
    <row r="78" spans="1:19">
      <c r="A78" s="1"/>
      <c r="B78" s="1"/>
      <c r="C78" s="1"/>
      <c r="D78" s="1"/>
      <c r="E78" s="1"/>
      <c r="F78" s="1"/>
      <c r="G78" s="1"/>
      <c r="H78" s="1"/>
      <c r="I78" s="1"/>
      <c r="J78" s="1"/>
      <c r="K78" s="1"/>
      <c r="L78" s="1"/>
      <c r="M78" s="1"/>
      <c r="N78" s="1"/>
      <c r="O78" s="1"/>
      <c r="P78" s="1"/>
      <c r="Q78" s="1"/>
      <c r="R78" s="1"/>
      <c r="S78" s="1"/>
    </row>
    <row r="79" spans="1:19">
      <c r="A79" s="1"/>
      <c r="B79" s="1"/>
      <c r="C79" s="1"/>
      <c r="D79" s="1"/>
      <c r="E79" s="1"/>
      <c r="F79" s="1"/>
      <c r="G79" s="1"/>
      <c r="H79" s="1"/>
      <c r="I79" s="1"/>
      <c r="J79" s="1"/>
      <c r="K79" s="1"/>
      <c r="L79" s="1"/>
      <c r="M79" s="1"/>
      <c r="N79" s="1"/>
      <c r="O79" s="1"/>
      <c r="P79" s="1"/>
      <c r="Q79" s="1"/>
      <c r="R79" s="1"/>
      <c r="S79" s="1"/>
    </row>
    <row r="80" spans="1:19">
      <c r="A80" s="1"/>
      <c r="B80" s="1"/>
      <c r="C80" s="1"/>
      <c r="D80" s="1"/>
      <c r="E80" s="1"/>
      <c r="F80" s="1"/>
      <c r="G80" s="1"/>
      <c r="H80" s="1"/>
      <c r="I80" s="1"/>
      <c r="J80" s="1"/>
      <c r="K80" s="1"/>
      <c r="L80" s="1"/>
      <c r="M80" s="1"/>
      <c r="N80" s="1"/>
      <c r="O80" s="1"/>
      <c r="P80" s="1"/>
      <c r="Q80" s="1"/>
      <c r="R80" s="1"/>
      <c r="S80" s="1"/>
    </row>
    <row r="81" spans="1:19">
      <c r="A81" s="1"/>
      <c r="B81" s="1"/>
      <c r="C81" s="1"/>
      <c r="D81" s="1"/>
      <c r="E81" s="1"/>
      <c r="F81" s="1"/>
      <c r="G81" s="1"/>
      <c r="H81" s="1"/>
      <c r="I81" s="1"/>
      <c r="J81" s="1"/>
      <c r="K81" s="1"/>
      <c r="L81" s="1"/>
      <c r="M81" s="1"/>
      <c r="N81" s="1"/>
      <c r="O81" s="1"/>
      <c r="P81" s="1"/>
      <c r="Q81" s="1"/>
      <c r="R81" s="1"/>
      <c r="S81" s="1"/>
    </row>
    <row r="82" spans="1:19">
      <c r="A82" s="1"/>
      <c r="B82" s="1"/>
      <c r="C82" s="1"/>
      <c r="D82" s="1"/>
      <c r="E82" s="1"/>
      <c r="F82" s="1"/>
      <c r="G82" s="1"/>
      <c r="H82" s="1"/>
      <c r="I82" s="1"/>
      <c r="J82" s="1"/>
      <c r="K82" s="1"/>
      <c r="L82" s="1"/>
      <c r="M82" s="1"/>
      <c r="N82" s="1"/>
      <c r="O82" s="1"/>
      <c r="P82" s="1"/>
      <c r="Q82" s="1"/>
      <c r="R82" s="1"/>
      <c r="S82" s="1"/>
    </row>
    <row r="83" spans="1:19">
      <c r="A83" s="1"/>
      <c r="B83" s="1"/>
      <c r="C83" s="1"/>
      <c r="D83" s="1"/>
      <c r="E83" s="1"/>
      <c r="F83" s="1"/>
      <c r="G83" s="1"/>
      <c r="H83" s="1"/>
      <c r="I83" s="1"/>
      <c r="J83" s="1"/>
      <c r="K83" s="1"/>
      <c r="L83" s="1"/>
      <c r="M83" s="1"/>
      <c r="N83" s="1"/>
      <c r="O83" s="1"/>
      <c r="P83" s="1"/>
      <c r="Q83" s="1"/>
      <c r="R83" s="1"/>
      <c r="S83" s="1"/>
    </row>
    <row r="84" spans="1:19">
      <c r="A84" s="1"/>
      <c r="B84" s="1"/>
      <c r="C84" s="1"/>
      <c r="D84" s="1"/>
      <c r="E84" s="1"/>
      <c r="F84" s="1"/>
      <c r="G84" s="1"/>
      <c r="H84" s="1"/>
      <c r="I84" s="1"/>
      <c r="J84" s="1"/>
      <c r="K84" s="1"/>
      <c r="L84" s="1"/>
      <c r="M84" s="1"/>
      <c r="N84" s="1"/>
      <c r="O84" s="1"/>
      <c r="P84" s="1"/>
      <c r="Q84" s="1"/>
      <c r="R84" s="1"/>
      <c r="S84" s="1"/>
    </row>
    <row r="85" spans="1:19">
      <c r="A85" s="1"/>
      <c r="B85" s="1"/>
      <c r="C85" s="1"/>
      <c r="D85" s="1"/>
      <c r="E85" s="1"/>
      <c r="F85" s="1"/>
      <c r="G85" s="1"/>
      <c r="H85" s="1"/>
      <c r="I85" s="1"/>
      <c r="J85" s="1"/>
      <c r="K85" s="1"/>
      <c r="L85" s="1"/>
      <c r="M85" s="1"/>
      <c r="N85" s="1"/>
      <c r="O85" s="1"/>
      <c r="P85" s="1"/>
      <c r="Q85" s="1"/>
      <c r="R85" s="1"/>
      <c r="S85" s="1"/>
    </row>
    <row r="86" spans="1:19">
      <c r="A86" s="1"/>
      <c r="B86" s="1"/>
      <c r="C86" s="1"/>
      <c r="D86" s="1"/>
      <c r="E86" s="1"/>
      <c r="F86" s="1"/>
      <c r="G86" s="1"/>
      <c r="H86" s="1"/>
      <c r="I86" s="1"/>
      <c r="J86" s="1"/>
      <c r="K86" s="1"/>
      <c r="L86" s="1"/>
      <c r="M86" s="1"/>
      <c r="N86" s="1"/>
      <c r="O86" s="1"/>
      <c r="P86" s="1"/>
      <c r="Q86" s="1"/>
      <c r="R86" s="1"/>
      <c r="S86" s="1"/>
    </row>
    <row r="87" spans="1:19">
      <c r="A87" s="1"/>
      <c r="B87" s="1"/>
      <c r="C87" s="1"/>
      <c r="D87" s="1"/>
      <c r="E87" s="1"/>
      <c r="F87" s="1"/>
      <c r="G87" s="1"/>
      <c r="H87" s="1"/>
      <c r="I87" s="1"/>
      <c r="J87" s="1"/>
      <c r="K87" s="1"/>
      <c r="L87" s="1"/>
      <c r="M87" s="1"/>
      <c r="N87" s="1"/>
      <c r="O87" s="1"/>
      <c r="P87" s="1"/>
      <c r="Q87" s="1"/>
      <c r="R87" s="1"/>
      <c r="S87" s="1"/>
    </row>
    <row r="88" spans="1:19">
      <c r="A88" s="1"/>
      <c r="B88" s="1"/>
      <c r="C88" s="1"/>
      <c r="D88" s="1"/>
      <c r="E88" s="1"/>
      <c r="F88" s="1"/>
      <c r="G88" s="1"/>
      <c r="H88" s="1"/>
      <c r="I88" s="1"/>
      <c r="J88" s="1"/>
      <c r="K88" s="1"/>
      <c r="L88" s="1"/>
      <c r="M88" s="1"/>
      <c r="N88" s="1"/>
      <c r="O88" s="1"/>
      <c r="P88" s="1"/>
      <c r="Q88" s="1"/>
      <c r="R88" s="1"/>
      <c r="S88" s="1"/>
    </row>
    <row r="89" spans="1:19">
      <c r="A89" s="1"/>
      <c r="B89" s="1"/>
      <c r="C89" s="1"/>
      <c r="D89" s="1"/>
      <c r="E89" s="1"/>
      <c r="F89" s="1"/>
      <c r="G89" s="1"/>
      <c r="H89" s="1"/>
      <c r="I89" s="1"/>
      <c r="J89" s="1"/>
      <c r="K89" s="1"/>
      <c r="L89" s="1"/>
      <c r="M89" s="1"/>
      <c r="N89" s="1"/>
      <c r="O89" s="1"/>
      <c r="P89" s="1"/>
      <c r="Q89" s="1"/>
      <c r="R89" s="1"/>
      <c r="S89" s="1"/>
    </row>
    <row r="90" spans="1:19">
      <c r="A90" s="1"/>
      <c r="B90" s="1"/>
      <c r="C90" s="1"/>
      <c r="D90" s="1"/>
      <c r="E90" s="1"/>
      <c r="F90" s="1"/>
      <c r="G90" s="1"/>
      <c r="H90" s="1"/>
      <c r="I90" s="1"/>
      <c r="J90" s="1"/>
      <c r="K90" s="1"/>
      <c r="L90" s="1"/>
      <c r="M90" s="1"/>
      <c r="N90" s="1"/>
      <c r="O90" s="1"/>
      <c r="P90" s="1"/>
      <c r="Q90" s="1"/>
      <c r="R90" s="1"/>
      <c r="S90" s="1"/>
    </row>
    <row r="91" spans="1:19">
      <c r="A91" s="1"/>
      <c r="B91" s="1"/>
      <c r="C91" s="1"/>
      <c r="D91" s="1"/>
      <c r="E91" s="1"/>
      <c r="F91" s="1"/>
      <c r="G91" s="1"/>
      <c r="H91" s="1"/>
      <c r="I91" s="1"/>
      <c r="J91" s="1"/>
      <c r="K91" s="1"/>
      <c r="L91" s="1"/>
      <c r="M91" s="1"/>
      <c r="N91" s="1"/>
      <c r="O91" s="1"/>
      <c r="P91" s="1"/>
      <c r="Q91" s="1"/>
      <c r="R91" s="1"/>
      <c r="S91" s="1"/>
    </row>
    <row r="92" spans="1:19">
      <c r="A92" s="1"/>
      <c r="B92" s="1"/>
      <c r="C92" s="1"/>
      <c r="D92" s="1"/>
      <c r="E92" s="1"/>
      <c r="F92" s="1"/>
      <c r="G92" s="1"/>
      <c r="H92" s="1"/>
      <c r="I92" s="1"/>
      <c r="J92" s="1"/>
      <c r="K92" s="1"/>
      <c r="L92" s="1"/>
      <c r="M92" s="1"/>
      <c r="N92" s="1"/>
      <c r="O92" s="1"/>
      <c r="P92" s="1"/>
      <c r="Q92" s="1"/>
      <c r="R92" s="1"/>
      <c r="S92" s="1"/>
    </row>
    <row r="93" spans="1:19">
      <c r="A93" s="1"/>
      <c r="B93" s="1"/>
      <c r="C93" s="1"/>
      <c r="D93" s="1"/>
      <c r="E93" s="1"/>
      <c r="F93" s="1"/>
      <c r="G93" s="1"/>
      <c r="H93" s="1"/>
      <c r="I93" s="1"/>
      <c r="J93" s="1"/>
      <c r="K93" s="1"/>
      <c r="L93" s="1"/>
      <c r="M93" s="1"/>
      <c r="N93" s="1"/>
      <c r="O93" s="1"/>
      <c r="P93" s="1"/>
      <c r="Q93" s="1"/>
      <c r="R93" s="1"/>
      <c r="S93" s="1"/>
    </row>
    <row r="94" spans="1:19">
      <c r="A94" s="1"/>
      <c r="B94" s="1"/>
      <c r="C94" s="1"/>
      <c r="D94" s="1"/>
      <c r="E94" s="1"/>
      <c r="F94" s="1"/>
      <c r="G94" s="1"/>
      <c r="H94" s="1"/>
      <c r="I94" s="1"/>
      <c r="J94" s="1"/>
      <c r="K94" s="1"/>
      <c r="L94" s="1"/>
      <c r="M94" s="1"/>
      <c r="N94" s="1"/>
      <c r="O94" s="1"/>
      <c r="P94" s="1"/>
      <c r="Q94" s="1"/>
      <c r="R94" s="1"/>
      <c r="S94" s="1"/>
    </row>
    <row r="95" spans="1:19">
      <c r="A95" s="1"/>
      <c r="B95" s="1"/>
      <c r="C95" s="1"/>
      <c r="D95" s="1"/>
      <c r="E95" s="1"/>
      <c r="F95" s="1"/>
      <c r="G95" s="1"/>
      <c r="H95" s="1"/>
      <c r="I95" s="1"/>
      <c r="J95" s="1"/>
      <c r="K95" s="1"/>
      <c r="L95" s="1"/>
      <c r="M95" s="1"/>
      <c r="N95" s="1"/>
      <c r="O95" s="1"/>
      <c r="P95" s="1"/>
      <c r="Q95" s="1"/>
      <c r="R95" s="1"/>
      <c r="S95" s="1"/>
    </row>
    <row r="96" spans="1:19">
      <c r="A96" s="1"/>
      <c r="B96" s="1"/>
      <c r="C96" s="1"/>
      <c r="D96" s="1"/>
      <c r="E96" s="1"/>
      <c r="F96" s="1"/>
      <c r="G96" s="1"/>
      <c r="H96" s="1"/>
      <c r="I96" s="1"/>
      <c r="J96" s="1"/>
      <c r="K96" s="1"/>
      <c r="L96" s="1"/>
      <c r="M96" s="1"/>
      <c r="N96" s="1"/>
      <c r="O96" s="1"/>
      <c r="P96" s="1"/>
      <c r="Q96" s="1"/>
      <c r="R96" s="1"/>
      <c r="S96" s="1"/>
    </row>
    <row r="97" spans="1:26">
      <c r="A97" s="1"/>
      <c r="B97" s="1"/>
      <c r="C97" s="1"/>
      <c r="D97" s="1"/>
      <c r="E97" s="1"/>
      <c r="F97" s="1"/>
      <c r="G97" s="1"/>
      <c r="H97" s="1"/>
      <c r="I97" s="1"/>
      <c r="J97" s="1"/>
      <c r="K97" s="1"/>
      <c r="L97" s="1"/>
      <c r="M97" s="1"/>
      <c r="N97" s="1"/>
      <c r="O97" s="1"/>
      <c r="P97" s="1"/>
      <c r="Q97" s="1"/>
      <c r="R97" s="1"/>
      <c r="S97" s="1"/>
    </row>
    <row r="98" spans="1:26">
      <c r="A98" s="1"/>
      <c r="B98" s="1"/>
      <c r="C98" s="1"/>
      <c r="D98" s="1"/>
      <c r="E98" s="1"/>
      <c r="F98" s="1"/>
      <c r="G98" s="1"/>
      <c r="H98" s="1"/>
      <c r="I98" s="1"/>
      <c r="J98" s="1"/>
      <c r="K98" s="1"/>
      <c r="L98" s="1"/>
      <c r="M98" s="1"/>
      <c r="N98" s="1"/>
      <c r="O98" s="1"/>
      <c r="P98" s="1"/>
      <c r="Q98" s="1"/>
      <c r="R98" s="1"/>
      <c r="S98" s="1"/>
    </row>
    <row r="99" spans="1:26">
      <c r="A99" s="1"/>
      <c r="B99" s="1"/>
      <c r="C99" s="1"/>
      <c r="D99" s="1"/>
      <c r="E99" s="1"/>
      <c r="F99" s="1"/>
      <c r="G99" s="1"/>
      <c r="H99" s="1"/>
      <c r="I99" s="1"/>
      <c r="J99" s="1"/>
      <c r="K99" s="1"/>
      <c r="L99" s="1"/>
      <c r="M99" s="1"/>
      <c r="N99" s="1"/>
      <c r="O99" s="1"/>
      <c r="P99" s="1"/>
      <c r="Q99" s="1"/>
      <c r="R99" s="1"/>
      <c r="S99" s="1"/>
    </row>
    <row r="100" spans="1:26">
      <c r="A100" s="1"/>
      <c r="B100" s="1"/>
      <c r="C100" s="1"/>
      <c r="D100" s="1"/>
      <c r="E100" s="1"/>
      <c r="F100" s="1"/>
      <c r="G100" s="1"/>
      <c r="H100" s="1"/>
      <c r="I100" s="1"/>
      <c r="J100" s="1"/>
      <c r="K100" s="1"/>
      <c r="L100" s="1"/>
      <c r="M100" s="1"/>
      <c r="N100" s="1"/>
      <c r="O100" s="1"/>
      <c r="P100" s="1"/>
      <c r="Q100" s="1"/>
      <c r="R100" s="1"/>
      <c r="S100" s="1"/>
    </row>
    <row r="101" spans="1:26">
      <c r="A101" s="1"/>
      <c r="B101" s="1"/>
      <c r="C101" s="1"/>
      <c r="D101" s="1"/>
      <c r="E101" s="1"/>
      <c r="F101" s="1"/>
      <c r="G101" s="1"/>
      <c r="H101" s="1"/>
      <c r="I101" s="1"/>
      <c r="J101" s="1"/>
      <c r="K101" s="1"/>
      <c r="L101" s="1"/>
      <c r="M101" s="1"/>
      <c r="N101" s="1"/>
      <c r="O101" s="1"/>
      <c r="P101" s="1"/>
      <c r="Q101" s="1"/>
      <c r="R101" s="1"/>
      <c r="S101" s="1"/>
    </row>
    <row r="102" spans="1:26">
      <c r="A102" s="1"/>
      <c r="B102" s="1"/>
      <c r="C102" s="1"/>
      <c r="D102" s="1"/>
      <c r="E102" s="1"/>
      <c r="F102" s="1"/>
      <c r="G102" s="1"/>
      <c r="H102" s="1"/>
      <c r="I102" s="1"/>
      <c r="J102" s="1"/>
      <c r="K102" s="1"/>
      <c r="L102" s="1"/>
      <c r="M102" s="1"/>
      <c r="N102" s="1"/>
      <c r="O102" s="1"/>
      <c r="P102" s="1"/>
      <c r="Q102" s="1"/>
      <c r="R102" s="1"/>
      <c r="S102" s="1"/>
    </row>
    <row r="103" spans="1:26">
      <c r="A103" s="1"/>
      <c r="B103" s="1"/>
      <c r="C103" s="1"/>
      <c r="D103" s="1"/>
      <c r="E103" s="1"/>
      <c r="F103" s="1"/>
      <c r="G103" s="1"/>
      <c r="H103" s="1"/>
      <c r="I103" s="1"/>
      <c r="J103" s="1"/>
      <c r="K103" s="1"/>
      <c r="L103" s="1"/>
      <c r="M103" s="1"/>
      <c r="N103" s="1"/>
      <c r="O103" s="1"/>
      <c r="P103" s="1"/>
      <c r="Q103" s="1"/>
      <c r="R103" s="1"/>
      <c r="S103" s="1"/>
    </row>
    <row r="104" spans="1:26">
      <c r="A104" s="1"/>
      <c r="B104" s="1"/>
      <c r="C104" s="1"/>
      <c r="D104" s="1"/>
      <c r="E104" s="1"/>
      <c r="F104" s="1"/>
      <c r="G104" s="1"/>
      <c r="H104" s="1"/>
      <c r="I104" s="1"/>
      <c r="J104" s="1"/>
      <c r="K104" s="1"/>
      <c r="L104" s="1"/>
      <c r="M104" s="1"/>
      <c r="N104" s="1"/>
      <c r="O104" s="1"/>
      <c r="P104" s="1"/>
      <c r="Q104" s="1"/>
      <c r="R104" s="1"/>
      <c r="S104" s="1"/>
    </row>
    <row r="105" spans="1:26">
      <c r="A105" s="1"/>
      <c r="B105" s="1"/>
      <c r="C105" s="1"/>
      <c r="D105" s="1"/>
      <c r="E105" s="1"/>
      <c r="F105" s="1"/>
      <c r="G105" s="1"/>
      <c r="H105" s="1"/>
      <c r="I105" s="1"/>
      <c r="J105" s="1"/>
      <c r="K105" s="1"/>
      <c r="L105" s="1"/>
      <c r="M105" s="1"/>
      <c r="N105" s="1"/>
      <c r="O105" s="1"/>
      <c r="P105" s="1"/>
      <c r="Q105" s="1"/>
      <c r="R105" s="1"/>
      <c r="S105" s="1"/>
    </row>
    <row r="106" spans="1:26">
      <c r="A106" s="1"/>
      <c r="B106" s="1"/>
      <c r="C106" s="1"/>
      <c r="D106" s="1"/>
      <c r="E106" s="1"/>
      <c r="F106" s="1"/>
      <c r="G106" s="1"/>
      <c r="H106" s="1"/>
      <c r="I106" s="1"/>
      <c r="J106" s="1"/>
      <c r="K106" s="1"/>
      <c r="L106" s="1"/>
      <c r="M106" s="1"/>
      <c r="N106" s="1"/>
      <c r="O106" s="1"/>
      <c r="P106" s="1"/>
      <c r="Q106" s="1"/>
      <c r="R106" s="1"/>
      <c r="S106" s="1"/>
    </row>
    <row r="107" spans="1:26">
      <c r="A107" s="1"/>
      <c r="B107" s="1"/>
      <c r="C107" s="1"/>
      <c r="D107" s="1"/>
      <c r="E107" s="1"/>
      <c r="F107" s="1"/>
      <c r="G107" s="1"/>
      <c r="H107" s="1"/>
      <c r="I107" s="1"/>
      <c r="J107" s="1"/>
      <c r="K107" s="1"/>
      <c r="L107" s="1"/>
      <c r="M107" s="1"/>
      <c r="N107" s="1"/>
      <c r="O107" s="1"/>
      <c r="P107" s="1"/>
      <c r="Q107" s="1"/>
      <c r="R107" s="1"/>
      <c r="S107" s="1"/>
    </row>
    <row r="108" spans="1:26">
      <c r="A108" s="1"/>
      <c r="B108" s="1"/>
      <c r="C108" s="1"/>
      <c r="D108" s="1"/>
      <c r="E108" s="1"/>
      <c r="F108" s="1"/>
      <c r="G108" s="1"/>
      <c r="H108" s="1"/>
      <c r="I108" s="1"/>
      <c r="J108" s="1"/>
      <c r="K108" s="1"/>
      <c r="L108" s="1"/>
      <c r="M108" s="1"/>
      <c r="N108" s="1"/>
      <c r="O108" s="1"/>
      <c r="P108" s="1"/>
      <c r="Q108" s="1"/>
      <c r="R108" s="1"/>
      <c r="S108" s="1"/>
    </row>
    <row r="109" spans="1:26">
      <c r="A109" s="1"/>
      <c r="B109" s="1"/>
      <c r="C109" s="1"/>
      <c r="D109" s="1"/>
      <c r="E109" s="1"/>
      <c r="F109" s="1"/>
      <c r="G109" s="1"/>
      <c r="H109" s="1"/>
      <c r="I109" s="1"/>
      <c r="J109" s="1"/>
      <c r="K109" s="1"/>
      <c r="L109" s="1"/>
      <c r="M109" s="1"/>
      <c r="N109" s="1"/>
      <c r="O109" s="1"/>
      <c r="P109" s="1"/>
      <c r="Q109" s="1"/>
      <c r="R109" s="1"/>
      <c r="S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H195" s="1"/>
      <c r="I195" s="1"/>
      <c r="J195" s="1"/>
      <c r="K195" s="1"/>
      <c r="L195" s="1"/>
      <c r="M195" s="1"/>
      <c r="N195" s="1"/>
      <c r="O195" s="1"/>
      <c r="P195" s="1"/>
      <c r="Q195" s="1"/>
      <c r="R195" s="1"/>
      <c r="S195" s="1"/>
      <c r="T195" s="1"/>
      <c r="U195" s="1"/>
      <c r="V195" s="1"/>
      <c r="W195" s="1"/>
      <c r="X195" s="1"/>
      <c r="Y195" s="1"/>
      <c r="Z195" s="1"/>
    </row>
    <row r="196" spans="1:26">
      <c r="H196" s="1"/>
      <c r="I196" s="1"/>
      <c r="J196" s="1"/>
      <c r="K196" s="1"/>
      <c r="L196" s="1"/>
      <c r="M196" s="1"/>
      <c r="N196" s="1"/>
      <c r="O196" s="1"/>
      <c r="P196" s="1"/>
      <c r="Q196" s="1"/>
      <c r="R196" s="1"/>
      <c r="S196" s="1"/>
      <c r="T196" s="1"/>
      <c r="U196" s="1"/>
      <c r="V196" s="1"/>
      <c r="W196" s="1"/>
      <c r="X196" s="1"/>
      <c r="Y196" s="1"/>
      <c r="Z196" s="1"/>
    </row>
    <row r="197" spans="1:26">
      <c r="H197" s="1"/>
      <c r="I197" s="1"/>
      <c r="J197" s="1"/>
      <c r="K197" s="1"/>
      <c r="L197" s="1"/>
      <c r="M197" s="1"/>
      <c r="N197" s="1"/>
      <c r="O197" s="1"/>
      <c r="P197" s="1"/>
      <c r="Q197" s="1"/>
      <c r="R197" s="1"/>
      <c r="S197" s="1"/>
      <c r="T197" s="1"/>
      <c r="U197" s="1"/>
      <c r="V197" s="1"/>
      <c r="W197" s="1"/>
      <c r="X197" s="1"/>
      <c r="Y197" s="1"/>
      <c r="Z197" s="1"/>
    </row>
    <row r="198" spans="1:26">
      <c r="H198" s="1"/>
      <c r="I198" s="1"/>
      <c r="J198" s="1"/>
      <c r="K198" s="1"/>
      <c r="L198" s="1"/>
      <c r="M198" s="1"/>
      <c r="N198" s="1"/>
      <c r="O198" s="1"/>
      <c r="P198" s="1"/>
      <c r="Q198" s="1"/>
      <c r="R198" s="1"/>
      <c r="S198" s="1"/>
      <c r="T198" s="1"/>
      <c r="U198" s="1"/>
      <c r="V198" s="1"/>
      <c r="W198" s="1"/>
      <c r="X198" s="1"/>
      <c r="Y198" s="1"/>
      <c r="Z198" s="1"/>
    </row>
    <row r="199" spans="1:26">
      <c r="H199" s="1"/>
      <c r="I199" s="1"/>
      <c r="J199" s="1"/>
      <c r="K199" s="1"/>
      <c r="L199" s="1"/>
      <c r="M199" s="1"/>
      <c r="N199" s="1"/>
      <c r="O199" s="1"/>
      <c r="P199" s="1"/>
      <c r="Q199" s="1"/>
      <c r="R199" s="1"/>
      <c r="S199" s="1"/>
      <c r="T199" s="1"/>
      <c r="U199" s="1"/>
      <c r="V199" s="1"/>
      <c r="W199" s="1"/>
      <c r="X199" s="1"/>
      <c r="Y199" s="1"/>
      <c r="Z199" s="1"/>
    </row>
    <row r="200" spans="1:26">
      <c r="H200" s="1"/>
      <c r="I200" s="1"/>
      <c r="J200" s="1"/>
      <c r="K200" s="1"/>
      <c r="L200" s="1"/>
      <c r="M200" s="1"/>
      <c r="N200" s="1"/>
      <c r="O200" s="1"/>
      <c r="P200" s="1"/>
      <c r="Q200" s="1"/>
      <c r="R200" s="1"/>
      <c r="S200" s="1"/>
      <c r="T200" s="1"/>
      <c r="U200" s="1"/>
      <c r="V200" s="1"/>
      <c r="W200" s="1"/>
      <c r="X200" s="1"/>
      <c r="Y200" s="1"/>
      <c r="Z200" s="1"/>
    </row>
  </sheetData>
  <mergeCells count="1">
    <mergeCell ref="A1:G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xr:uid="{00000000-0002-0000-0000-000000000000}">
          <x14:formula1>
            <xm:f>'Data Lists'!$J$2:$J$3</xm:f>
          </x14:formula1>
          <xm:sqref>B8</xm:sqref>
        </x14:dataValidation>
        <x14:dataValidation type="list" xr:uid="{00000000-0002-0000-0000-000001000000}">
          <x14:formula1>
            <xm:f>'Data Lists'!$A$14:$A$18</xm:f>
          </x14:formula1>
          <xm:sqref>B9</xm:sqref>
        </x14:dataValidation>
        <x14:dataValidation type="list" xr:uid="{00000000-0002-0000-0000-000002000000}">
          <x14:formula1>
            <xm:f>'Data Lists'!$A$2:$A$18</xm:f>
          </x14:formula1>
          <xm:sqref>A12:A17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00"/>
  <sheetViews>
    <sheetView workbookViewId="0">
      <selection activeCell="K7" sqref="K7"/>
    </sheetView>
  </sheetViews>
  <sheetFormatPr defaultRowHeight="14.25"/>
  <cols>
    <col min="1" max="1" width="42" customWidth="1"/>
    <col min="2" max="2" width="25" customWidth="1"/>
    <col min="3" max="3" width="70" customWidth="1"/>
    <col min="4" max="6" width="14" customWidth="1"/>
    <col min="7" max="7" width="20" customWidth="1"/>
    <col min="8" max="8" width="32" customWidth="1"/>
    <col min="9" max="9" width="20" customWidth="1"/>
    <col min="10" max="10" width="18" customWidth="1"/>
    <col min="14" max="14" width="80" customWidth="1"/>
  </cols>
  <sheetData>
    <row r="1" spans="1:26" ht="21.95" customHeight="1">
      <c r="A1" s="3" t="s">
        <v>35</v>
      </c>
      <c r="B1" s="3" t="s">
        <v>36</v>
      </c>
      <c r="C1" s="3" t="s">
        <v>37</v>
      </c>
      <c r="D1" s="3" t="s">
        <v>38</v>
      </c>
      <c r="E1" s="3" t="s">
        <v>39</v>
      </c>
      <c r="F1" s="3" t="s">
        <v>40</v>
      </c>
      <c r="G1" s="3" t="s">
        <v>41</v>
      </c>
      <c r="H1" s="3" t="s">
        <v>42</v>
      </c>
      <c r="I1" s="2" t="s">
        <v>126</v>
      </c>
      <c r="J1" s="3" t="s">
        <v>16</v>
      </c>
      <c r="K1" s="1"/>
      <c r="L1" s="2" t="s">
        <v>126</v>
      </c>
      <c r="M1" s="2" t="s">
        <v>127</v>
      </c>
      <c r="N1" s="2" t="s">
        <v>128</v>
      </c>
      <c r="O1" s="2" t="s">
        <v>129</v>
      </c>
      <c r="P1" s="2" t="s">
        <v>130</v>
      </c>
      <c r="Q1" s="1"/>
      <c r="R1" s="2"/>
      <c r="S1" s="1"/>
      <c r="T1" s="1"/>
      <c r="U1" s="1"/>
      <c r="V1" s="1"/>
      <c r="W1" s="1"/>
      <c r="X1" s="1"/>
      <c r="Y1" s="1"/>
      <c r="Z1" s="1"/>
    </row>
    <row r="2" spans="1:26" ht="80.099999999999994" customHeight="1">
      <c r="A2" s="1" t="s">
        <v>31</v>
      </c>
      <c r="B2" s="1" t="s">
        <v>43</v>
      </c>
      <c r="C2" s="1" t="s">
        <v>44</v>
      </c>
      <c r="D2" s="1">
        <v>1750</v>
      </c>
      <c r="E2" s="1">
        <v>-1750</v>
      </c>
      <c r="F2" s="1">
        <v>0</v>
      </c>
      <c r="G2" s="1" t="s">
        <v>45</v>
      </c>
      <c r="H2" s="1" t="s">
        <v>46</v>
      </c>
      <c r="I2" s="1"/>
      <c r="J2" s="1" t="s">
        <v>17</v>
      </c>
      <c r="K2" s="1"/>
      <c r="L2" s="1"/>
      <c r="M2" s="1"/>
      <c r="N2" s="1"/>
      <c r="O2" s="1"/>
      <c r="P2" s="1"/>
      <c r="Q2" s="1"/>
      <c r="R2" s="1"/>
      <c r="S2" s="1"/>
      <c r="T2" s="1"/>
      <c r="U2" s="1"/>
      <c r="V2" s="1"/>
      <c r="W2" s="1"/>
      <c r="X2" s="1"/>
      <c r="Y2" s="1"/>
      <c r="Z2" s="1"/>
    </row>
    <row r="3" spans="1:26" ht="80.099999999999994" customHeight="1">
      <c r="A3" s="1" t="s">
        <v>47</v>
      </c>
      <c r="B3" s="1" t="s">
        <v>43</v>
      </c>
      <c r="C3" s="1" t="s">
        <v>48</v>
      </c>
      <c r="D3" s="1">
        <v>4000</v>
      </c>
      <c r="E3" s="1">
        <v>-1750</v>
      </c>
      <c r="F3" s="1">
        <v>2240</v>
      </c>
      <c r="G3" s="1" t="s">
        <v>49</v>
      </c>
      <c r="H3" s="1" t="s">
        <v>50</v>
      </c>
      <c r="I3" s="1"/>
      <c r="J3" s="1" t="s">
        <v>51</v>
      </c>
      <c r="K3" s="1"/>
      <c r="L3" s="1"/>
      <c r="M3" s="1"/>
      <c r="N3" s="1"/>
      <c r="O3" s="1"/>
      <c r="P3" s="1"/>
      <c r="Q3" s="1"/>
      <c r="R3" s="1"/>
      <c r="S3" s="1"/>
      <c r="T3" s="1"/>
      <c r="U3" s="1"/>
      <c r="V3" s="1"/>
      <c r="W3" s="1"/>
      <c r="X3" s="1"/>
      <c r="Y3" s="1"/>
      <c r="Z3" s="1"/>
    </row>
    <row r="4" spans="1:26" ht="80.099999999999994" customHeight="1">
      <c r="A4" s="1" t="s">
        <v>32</v>
      </c>
      <c r="B4" s="1" t="s">
        <v>52</v>
      </c>
      <c r="C4" s="1" t="s">
        <v>53</v>
      </c>
      <c r="D4" s="1">
        <v>2000</v>
      </c>
      <c r="E4" s="1">
        <v>-2000</v>
      </c>
      <c r="F4" s="1">
        <v>0</v>
      </c>
      <c r="G4" s="1" t="s">
        <v>54</v>
      </c>
      <c r="H4" s="1" t="s">
        <v>55</v>
      </c>
      <c r="I4" s="1"/>
      <c r="J4" s="1"/>
      <c r="K4" s="1"/>
      <c r="L4" s="1"/>
      <c r="M4" s="1"/>
      <c r="N4" s="1"/>
      <c r="O4" s="1"/>
      <c r="P4" s="1"/>
      <c r="Q4" s="1"/>
      <c r="R4" s="1"/>
      <c r="S4" s="1"/>
      <c r="T4" s="1"/>
      <c r="U4" s="1"/>
      <c r="V4" s="1"/>
      <c r="W4" s="1"/>
      <c r="X4" s="1"/>
      <c r="Y4" s="1"/>
      <c r="Z4" s="1"/>
    </row>
    <row r="5" spans="1:26" ht="80.099999999999994" customHeight="1">
      <c r="A5" s="1" t="s">
        <v>56</v>
      </c>
      <c r="B5" s="1" t="s">
        <v>52</v>
      </c>
      <c r="C5" s="1" t="s">
        <v>57</v>
      </c>
      <c r="D5" s="1">
        <v>2500</v>
      </c>
      <c r="E5" s="1">
        <v>-2500</v>
      </c>
      <c r="F5" s="1">
        <v>0</v>
      </c>
      <c r="G5" s="1" t="s">
        <v>54</v>
      </c>
      <c r="H5" s="1" t="s">
        <v>58</v>
      </c>
      <c r="I5" s="1"/>
      <c r="J5" s="1"/>
      <c r="K5" s="1"/>
      <c r="L5" s="1"/>
      <c r="M5" s="1"/>
      <c r="N5" s="1"/>
      <c r="O5" s="1"/>
      <c r="P5" s="1"/>
      <c r="Q5" s="1"/>
      <c r="R5" s="1"/>
      <c r="S5" s="1"/>
      <c r="T5" s="1"/>
      <c r="U5" s="1"/>
      <c r="V5" s="1"/>
      <c r="W5" s="1"/>
      <c r="X5" s="1"/>
      <c r="Y5" s="1"/>
      <c r="Z5" s="1"/>
    </row>
    <row r="6" spans="1:26" ht="80.099999999999994" customHeight="1">
      <c r="A6" s="1" t="s">
        <v>59</v>
      </c>
      <c r="B6" s="1" t="s">
        <v>60</v>
      </c>
      <c r="C6" s="1" t="s">
        <v>61</v>
      </c>
      <c r="D6" s="1">
        <v>2500</v>
      </c>
      <c r="E6" s="1">
        <v>-2500</v>
      </c>
      <c r="F6" s="1">
        <v>0</v>
      </c>
      <c r="G6" s="1" t="s">
        <v>54</v>
      </c>
      <c r="H6" s="1" t="s">
        <v>62</v>
      </c>
      <c r="I6" s="1"/>
      <c r="J6" s="1"/>
      <c r="K6" s="1"/>
      <c r="L6" s="1"/>
      <c r="M6" s="1"/>
      <c r="N6" s="1"/>
      <c r="O6" s="1"/>
      <c r="P6" s="1"/>
      <c r="Q6" s="1"/>
      <c r="R6" s="1"/>
      <c r="S6" s="1"/>
      <c r="T6" s="1"/>
      <c r="U6" s="1"/>
      <c r="V6" s="1"/>
      <c r="W6" s="1"/>
      <c r="X6" s="1"/>
      <c r="Y6" s="1"/>
      <c r="Z6" s="1"/>
    </row>
    <row r="7" spans="1:26" ht="80.099999999999994" customHeight="1">
      <c r="A7" s="1" t="s">
        <v>33</v>
      </c>
      <c r="B7" s="1" t="s">
        <v>63</v>
      </c>
      <c r="C7" s="1" t="s">
        <v>64</v>
      </c>
      <c r="D7" s="1">
        <v>1600</v>
      </c>
      <c r="E7" s="1">
        <v>-1600</v>
      </c>
      <c r="F7" s="1">
        <v>0</v>
      </c>
      <c r="G7" s="1" t="s">
        <v>65</v>
      </c>
      <c r="H7" s="1" t="s">
        <v>55</v>
      </c>
      <c r="I7" s="1"/>
      <c r="J7" s="1"/>
      <c r="K7" s="1"/>
      <c r="L7" s="1"/>
      <c r="M7" s="1"/>
      <c r="N7" s="1"/>
      <c r="O7" s="1"/>
      <c r="P7" s="1"/>
      <c r="Q7" s="1"/>
      <c r="R7" s="1"/>
      <c r="S7" s="1"/>
      <c r="T7" s="1"/>
      <c r="U7" s="1"/>
      <c r="V7" s="1"/>
      <c r="W7" s="1"/>
      <c r="X7" s="1"/>
      <c r="Y7" s="1"/>
      <c r="Z7" s="1"/>
    </row>
    <row r="8" spans="1:26" ht="80.099999999999994" customHeight="1">
      <c r="A8" s="1" t="s">
        <v>66</v>
      </c>
      <c r="B8" s="1" t="s">
        <v>63</v>
      </c>
      <c r="C8" s="1" t="s">
        <v>67</v>
      </c>
      <c r="D8" s="1">
        <v>1600</v>
      </c>
      <c r="E8" s="1">
        <v>-1600</v>
      </c>
      <c r="F8" s="1">
        <v>0</v>
      </c>
      <c r="G8" s="1" t="s">
        <v>68</v>
      </c>
      <c r="H8" s="1" t="s">
        <v>50</v>
      </c>
      <c r="I8" s="1"/>
      <c r="J8" s="1"/>
      <c r="K8" s="1"/>
      <c r="L8" s="1"/>
      <c r="M8" s="1"/>
      <c r="N8" s="1"/>
      <c r="O8" s="1"/>
      <c r="P8" s="1"/>
      <c r="Q8" s="1"/>
      <c r="R8" s="1"/>
      <c r="S8" s="1"/>
      <c r="T8" s="1"/>
      <c r="U8" s="1"/>
      <c r="V8" s="1"/>
      <c r="W8" s="1"/>
      <c r="X8" s="1"/>
      <c r="Y8" s="1"/>
      <c r="Z8" s="1"/>
    </row>
    <row r="9" spans="1:26" ht="80.099999999999994" customHeight="1">
      <c r="A9" s="1" t="s">
        <v>69</v>
      </c>
      <c r="B9" s="1" t="s">
        <v>63</v>
      </c>
      <c r="C9" s="1" t="s">
        <v>70</v>
      </c>
      <c r="D9" s="1">
        <v>1600</v>
      </c>
      <c r="E9" s="1">
        <v>-1600</v>
      </c>
      <c r="F9" s="1">
        <v>0</v>
      </c>
      <c r="G9" s="1" t="s">
        <v>68</v>
      </c>
      <c r="H9" s="1" t="s">
        <v>71</v>
      </c>
      <c r="I9" s="1"/>
      <c r="J9" s="1"/>
      <c r="K9" s="1"/>
      <c r="L9" s="1"/>
      <c r="M9" s="1"/>
      <c r="N9" s="1"/>
      <c r="O9" s="1"/>
      <c r="P9" s="1"/>
      <c r="Q9" s="1"/>
      <c r="R9" s="1"/>
      <c r="S9" s="1"/>
      <c r="T9" s="1"/>
      <c r="U9" s="1"/>
      <c r="V9" s="1"/>
      <c r="W9" s="1"/>
      <c r="X9" s="1"/>
      <c r="Y9" s="1"/>
      <c r="Z9" s="1"/>
    </row>
    <row r="10" spans="1:26" ht="80.099999999999994" customHeight="1">
      <c r="A10" s="1" t="s">
        <v>72</v>
      </c>
      <c r="B10" s="1" t="s">
        <v>73</v>
      </c>
      <c r="C10" s="1" t="s">
        <v>74</v>
      </c>
      <c r="D10" s="1">
        <v>2000</v>
      </c>
      <c r="E10" s="1">
        <v>-2000</v>
      </c>
      <c r="F10" s="1">
        <v>0</v>
      </c>
      <c r="G10" s="1" t="s">
        <v>75</v>
      </c>
      <c r="H10" s="1" t="s">
        <v>76</v>
      </c>
      <c r="I10" s="1"/>
      <c r="J10" s="1"/>
      <c r="K10" s="1"/>
      <c r="L10" s="1"/>
      <c r="M10" s="1"/>
      <c r="N10" s="1"/>
      <c r="O10" s="1"/>
      <c r="P10" s="1"/>
      <c r="Q10" s="1"/>
      <c r="R10" s="1"/>
      <c r="S10" s="1"/>
      <c r="T10" s="1"/>
      <c r="U10" s="1"/>
      <c r="V10" s="1"/>
      <c r="W10" s="1"/>
      <c r="X10" s="1"/>
      <c r="Y10" s="1"/>
      <c r="Z10" s="1"/>
    </row>
    <row r="11" spans="1:26" ht="80.099999999999994" customHeight="1">
      <c r="A11" s="1" t="s">
        <v>77</v>
      </c>
      <c r="B11" s="1" t="s">
        <v>73</v>
      </c>
      <c r="C11" s="1" t="s">
        <v>78</v>
      </c>
      <c r="D11" s="1">
        <v>2250</v>
      </c>
      <c r="E11" s="1">
        <v>-2250</v>
      </c>
      <c r="F11" s="1">
        <v>0</v>
      </c>
      <c r="G11" s="1" t="s">
        <v>79</v>
      </c>
      <c r="H11" s="1" t="s">
        <v>80</v>
      </c>
      <c r="I11" s="1"/>
      <c r="J11" s="1"/>
      <c r="K11" s="1"/>
      <c r="L11" s="1"/>
      <c r="M11" s="1"/>
      <c r="N11" s="1"/>
      <c r="O11" s="1"/>
      <c r="P11" s="1"/>
      <c r="Q11" s="1"/>
      <c r="R11" s="1"/>
      <c r="S11" s="1"/>
      <c r="T11" s="1"/>
      <c r="U11" s="1"/>
      <c r="V11" s="1"/>
      <c r="W11" s="1"/>
      <c r="X11" s="1"/>
      <c r="Y11" s="1"/>
      <c r="Z11" s="1"/>
    </row>
    <row r="12" spans="1:26" ht="80.099999999999994" customHeight="1">
      <c r="A12" s="1" t="s">
        <v>34</v>
      </c>
      <c r="B12" s="1" t="s">
        <v>81</v>
      </c>
      <c r="C12" s="1" t="s">
        <v>82</v>
      </c>
      <c r="D12" s="1">
        <v>1000</v>
      </c>
      <c r="E12" s="1">
        <v>-1000</v>
      </c>
      <c r="F12" s="1">
        <v>0</v>
      </c>
      <c r="G12" s="1" t="s">
        <v>83</v>
      </c>
      <c r="H12" s="1" t="s">
        <v>55</v>
      </c>
      <c r="I12" s="1"/>
      <c r="J12" s="1"/>
      <c r="K12" s="1"/>
      <c r="L12" s="1"/>
      <c r="M12" s="1"/>
      <c r="N12" s="1"/>
      <c r="O12" s="1"/>
      <c r="P12" s="1"/>
      <c r="Q12" s="1"/>
      <c r="R12" s="1"/>
      <c r="S12" s="1"/>
      <c r="T12" s="1"/>
      <c r="U12" s="1"/>
      <c r="V12" s="1"/>
      <c r="W12" s="1"/>
      <c r="X12" s="1"/>
      <c r="Y12" s="1"/>
      <c r="Z12" s="1"/>
    </row>
    <row r="13" spans="1:26" ht="80.099999999999994" customHeight="1">
      <c r="A13" s="1" t="s">
        <v>84</v>
      </c>
      <c r="B13" s="1" t="s">
        <v>85</v>
      </c>
      <c r="C13" s="1" t="s">
        <v>86</v>
      </c>
      <c r="D13" s="1">
        <v>840</v>
      </c>
      <c r="E13" s="1">
        <v>-840</v>
      </c>
      <c r="F13" s="1">
        <v>0</v>
      </c>
      <c r="G13" s="1" t="s">
        <v>49</v>
      </c>
      <c r="H13" s="1" t="s">
        <v>62</v>
      </c>
      <c r="I13" s="1"/>
      <c r="J13" s="1"/>
      <c r="K13" s="1"/>
      <c r="L13" s="1"/>
      <c r="M13" s="1"/>
      <c r="N13" s="1"/>
      <c r="O13" s="1"/>
      <c r="P13" s="1"/>
      <c r="Q13" s="1"/>
      <c r="R13" s="1"/>
      <c r="S13" s="1"/>
      <c r="T13" s="1"/>
      <c r="U13" s="1"/>
      <c r="V13" s="1"/>
      <c r="W13" s="1"/>
      <c r="X13" s="1"/>
      <c r="Y13" s="1"/>
      <c r="Z13" s="1"/>
    </row>
    <row r="14" spans="1:26" ht="80.099999999999994" customHeight="1">
      <c r="A14" s="1" t="s">
        <v>21</v>
      </c>
      <c r="B14" s="1" t="s">
        <v>87</v>
      </c>
      <c r="C14" s="1" t="s">
        <v>88</v>
      </c>
      <c r="D14" s="1">
        <v>14000</v>
      </c>
      <c r="E14" s="1">
        <v>-14000</v>
      </c>
      <c r="F14" s="1">
        <v>0</v>
      </c>
      <c r="G14" s="1" t="s">
        <v>89</v>
      </c>
      <c r="H14" s="1" t="s">
        <v>90</v>
      </c>
      <c r="I14" s="1"/>
      <c r="J14" s="1"/>
      <c r="K14" s="1"/>
      <c r="L14" s="1"/>
      <c r="M14" s="1"/>
      <c r="N14" s="1"/>
      <c r="O14" s="1"/>
      <c r="P14" s="1"/>
      <c r="Q14" s="1"/>
      <c r="R14" s="1"/>
      <c r="S14" s="1"/>
      <c r="T14" s="1"/>
      <c r="U14" s="1"/>
      <c r="V14" s="1"/>
      <c r="W14" s="1"/>
      <c r="X14" s="1"/>
      <c r="Y14" s="1"/>
      <c r="Z14" s="1"/>
    </row>
    <row r="15" spans="1:26" ht="80.099999999999994" customHeight="1">
      <c r="A15" s="1" t="s">
        <v>91</v>
      </c>
      <c r="B15" s="1" t="s">
        <v>87</v>
      </c>
      <c r="C15" s="1" t="s">
        <v>92</v>
      </c>
      <c r="D15" s="1">
        <v>16000</v>
      </c>
      <c r="E15" s="1">
        <v>-16000</v>
      </c>
      <c r="F15" s="1">
        <v>0</v>
      </c>
      <c r="G15" s="1" t="s">
        <v>89</v>
      </c>
      <c r="H15" s="1" t="s">
        <v>90</v>
      </c>
      <c r="I15" s="1"/>
      <c r="J15" s="1"/>
      <c r="K15" s="1"/>
      <c r="L15" s="1"/>
      <c r="M15" s="1"/>
      <c r="N15" s="1"/>
      <c r="O15" s="1"/>
      <c r="P15" s="1"/>
      <c r="Q15" s="1"/>
      <c r="R15" s="1"/>
      <c r="S15" s="1"/>
      <c r="T15" s="1"/>
      <c r="U15" s="1"/>
      <c r="V15" s="1"/>
      <c r="W15" s="1"/>
      <c r="X15" s="1"/>
      <c r="Y15" s="1"/>
      <c r="Z15" s="1"/>
    </row>
    <row r="16" spans="1:26" ht="80.099999999999994" customHeight="1">
      <c r="A16" s="1" t="s">
        <v>93</v>
      </c>
      <c r="B16" s="1" t="s">
        <v>87</v>
      </c>
      <c r="C16" s="1" t="s">
        <v>94</v>
      </c>
      <c r="D16" s="1">
        <v>14000</v>
      </c>
      <c r="E16" s="1">
        <v>-14000</v>
      </c>
      <c r="F16" s="1">
        <v>0</v>
      </c>
      <c r="G16" s="1" t="s">
        <v>89</v>
      </c>
      <c r="H16" s="1" t="s">
        <v>95</v>
      </c>
      <c r="I16" s="1"/>
      <c r="J16" s="1"/>
      <c r="K16" s="1"/>
      <c r="L16" s="1"/>
      <c r="M16" s="1"/>
      <c r="N16" s="1"/>
      <c r="O16" s="1"/>
      <c r="P16" s="1"/>
      <c r="Q16" s="1"/>
      <c r="R16" s="1"/>
      <c r="S16" s="1"/>
      <c r="T16" s="1"/>
      <c r="U16" s="1"/>
      <c r="V16" s="1"/>
      <c r="W16" s="1"/>
      <c r="X16" s="1"/>
      <c r="Y16" s="1"/>
      <c r="Z16" s="1"/>
    </row>
    <row r="17" spans="1:26" ht="80.099999999999994" customHeight="1">
      <c r="A17" s="1" t="s">
        <v>96</v>
      </c>
      <c r="B17" s="1" t="s">
        <v>87</v>
      </c>
      <c r="C17" s="1" t="s">
        <v>97</v>
      </c>
      <c r="D17" s="1">
        <v>16000</v>
      </c>
      <c r="E17" s="1">
        <v>-16000</v>
      </c>
      <c r="F17" s="1">
        <v>0</v>
      </c>
      <c r="G17" s="1" t="s">
        <v>89</v>
      </c>
      <c r="H17" s="1" t="s">
        <v>95</v>
      </c>
      <c r="I17" s="1"/>
      <c r="J17" s="1"/>
      <c r="K17" s="1"/>
      <c r="L17" s="1"/>
      <c r="M17" s="1"/>
      <c r="N17" s="1"/>
      <c r="O17" s="1"/>
      <c r="P17" s="1"/>
      <c r="Q17" s="1"/>
      <c r="R17" s="1"/>
      <c r="S17" s="1"/>
      <c r="T17" s="1"/>
      <c r="U17" s="1"/>
      <c r="V17" s="1"/>
      <c r="W17" s="1"/>
      <c r="X17" s="1"/>
      <c r="Y17" s="1"/>
      <c r="Z17" s="1"/>
    </row>
    <row r="18" spans="1:26" ht="80.099999999999994" customHeight="1">
      <c r="A18" s="1" t="s">
        <v>98</v>
      </c>
      <c r="B18" s="1" t="s">
        <v>87</v>
      </c>
      <c r="C18" s="1" t="s">
        <v>99</v>
      </c>
      <c r="D18" s="1">
        <v>15000</v>
      </c>
      <c r="E18" s="1">
        <v>-8000</v>
      </c>
      <c r="F18" s="1">
        <v>7000</v>
      </c>
      <c r="G18" s="1" t="s">
        <v>89</v>
      </c>
      <c r="H18" s="1" t="s">
        <v>50</v>
      </c>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00"/>
  <sheetViews>
    <sheetView workbookViewId="0">
      <selection sqref="A1:D1"/>
    </sheetView>
  </sheetViews>
  <sheetFormatPr defaultRowHeight="14.25"/>
  <cols>
    <col min="1" max="1" width="8" customWidth="1"/>
    <col min="2" max="2" width="35" customWidth="1"/>
    <col min="3" max="3" width="28" customWidth="1"/>
    <col min="4" max="4" width="55" customWidth="1"/>
  </cols>
  <sheetData>
    <row r="1" spans="1:26" ht="20.25">
      <c r="A1" s="33" t="s">
        <v>100</v>
      </c>
      <c r="B1" s="33"/>
      <c r="C1" s="33"/>
      <c r="D1" s="33"/>
      <c r="E1" s="1"/>
      <c r="F1" s="1"/>
      <c r="G1" s="1"/>
      <c r="H1" s="1"/>
      <c r="I1" s="1"/>
      <c r="J1" s="1"/>
      <c r="K1" s="1"/>
      <c r="L1" s="1"/>
      <c r="M1" s="1"/>
      <c r="N1" s="1"/>
      <c r="O1" s="1"/>
      <c r="P1" s="1"/>
      <c r="Q1" s="1"/>
      <c r="R1" s="1"/>
      <c r="S1" s="1"/>
      <c r="T1" s="1"/>
      <c r="U1" s="1"/>
      <c r="V1" s="1"/>
      <c r="W1" s="1"/>
      <c r="X1" s="1"/>
      <c r="Y1" s="1"/>
      <c r="Z1" s="1"/>
    </row>
    <row r="2" spans="1:26">
      <c r="A2" s="1"/>
      <c r="B2" s="1"/>
      <c r="C2" s="1"/>
      <c r="D2" s="1"/>
      <c r="E2" s="1"/>
      <c r="F2" s="1"/>
      <c r="G2" s="1"/>
      <c r="H2" s="1"/>
      <c r="I2" s="1"/>
      <c r="J2" s="1"/>
      <c r="K2" s="1"/>
      <c r="L2" s="1"/>
      <c r="M2" s="1"/>
      <c r="N2" s="1"/>
      <c r="O2" s="1"/>
      <c r="P2" s="1"/>
      <c r="Q2" s="1"/>
      <c r="R2" s="1"/>
      <c r="S2" s="1"/>
      <c r="T2" s="1"/>
      <c r="U2" s="1"/>
      <c r="V2" s="1"/>
      <c r="W2" s="1"/>
      <c r="X2" s="1"/>
      <c r="Y2" s="1"/>
      <c r="Z2" s="1"/>
    </row>
    <row r="3" spans="1:26" ht="15">
      <c r="A3" s="3" t="s">
        <v>101</v>
      </c>
      <c r="B3" s="3" t="s">
        <v>102</v>
      </c>
      <c r="C3" s="3" t="s">
        <v>103</v>
      </c>
      <c r="D3" s="3" t="s">
        <v>104</v>
      </c>
      <c r="E3" s="1"/>
      <c r="F3" s="1"/>
      <c r="G3" s="1"/>
      <c r="H3" s="1"/>
      <c r="I3" s="1"/>
      <c r="J3" s="1"/>
      <c r="K3" s="1"/>
      <c r="L3" s="1"/>
      <c r="M3" s="1"/>
      <c r="N3" s="1"/>
      <c r="O3" s="1"/>
      <c r="P3" s="1"/>
      <c r="Q3" s="1"/>
      <c r="R3" s="1"/>
      <c r="S3" s="1"/>
      <c r="T3" s="1"/>
      <c r="U3" s="1"/>
      <c r="V3" s="1"/>
      <c r="W3" s="1"/>
      <c r="X3" s="1"/>
      <c r="Y3" s="1"/>
      <c r="Z3" s="1"/>
    </row>
    <row r="4" spans="1:26">
      <c r="A4" s="1">
        <v>1</v>
      </c>
      <c r="B4" s="1" t="s">
        <v>105</v>
      </c>
      <c r="C4" s="1" t="s">
        <v>106</v>
      </c>
      <c r="D4" s="1" t="s">
        <v>107</v>
      </c>
      <c r="E4" s="1"/>
      <c r="F4" s="1"/>
      <c r="G4" s="1"/>
      <c r="H4" s="1"/>
      <c r="I4" s="1"/>
      <c r="J4" s="1"/>
      <c r="K4" s="1"/>
      <c r="L4" s="1"/>
      <c r="M4" s="1"/>
      <c r="N4" s="1"/>
      <c r="O4" s="1"/>
      <c r="P4" s="1"/>
      <c r="Q4" s="1"/>
      <c r="R4" s="1"/>
      <c r="S4" s="1"/>
      <c r="T4" s="1"/>
      <c r="U4" s="1"/>
      <c r="V4" s="1"/>
      <c r="W4" s="1"/>
      <c r="X4" s="1"/>
      <c r="Y4" s="1"/>
      <c r="Z4" s="1"/>
    </row>
    <row r="5" spans="1:26">
      <c r="A5" s="1">
        <v>2</v>
      </c>
      <c r="B5" s="1" t="s">
        <v>108</v>
      </c>
      <c r="C5" s="1" t="s">
        <v>109</v>
      </c>
      <c r="D5" s="1" t="s">
        <v>110</v>
      </c>
      <c r="E5" s="1"/>
      <c r="F5" s="1"/>
      <c r="G5" s="1"/>
      <c r="H5" s="1"/>
      <c r="I5" s="1"/>
      <c r="J5" s="1"/>
      <c r="K5" s="1"/>
      <c r="L5" s="1"/>
      <c r="M5" s="1"/>
      <c r="N5" s="1"/>
      <c r="O5" s="1"/>
      <c r="P5" s="1"/>
      <c r="Q5" s="1"/>
      <c r="R5" s="1"/>
      <c r="S5" s="1"/>
      <c r="T5" s="1"/>
      <c r="U5" s="1"/>
      <c r="V5" s="1"/>
      <c r="W5" s="1"/>
      <c r="X5" s="1"/>
      <c r="Y5" s="1"/>
      <c r="Z5" s="1"/>
    </row>
    <row r="6" spans="1:26" ht="28.5">
      <c r="A6" s="1">
        <v>3</v>
      </c>
      <c r="B6" s="1" t="s">
        <v>111</v>
      </c>
      <c r="C6" s="1" t="s">
        <v>112</v>
      </c>
      <c r="D6" s="1" t="s">
        <v>113</v>
      </c>
      <c r="E6" s="1"/>
      <c r="F6" s="1"/>
      <c r="G6" s="1"/>
      <c r="H6" s="1"/>
      <c r="I6" s="1"/>
      <c r="J6" s="1"/>
      <c r="K6" s="1"/>
      <c r="L6" s="1"/>
      <c r="M6" s="1"/>
      <c r="N6" s="1"/>
      <c r="O6" s="1"/>
      <c r="P6" s="1"/>
      <c r="Q6" s="1"/>
      <c r="R6" s="1"/>
      <c r="S6" s="1"/>
      <c r="T6" s="1"/>
      <c r="U6" s="1"/>
      <c r="V6" s="1"/>
      <c r="W6" s="1"/>
      <c r="X6" s="1"/>
      <c r="Y6" s="1"/>
      <c r="Z6" s="1"/>
    </row>
    <row r="7" spans="1:26" ht="28.5">
      <c r="A7" s="1">
        <v>4</v>
      </c>
      <c r="B7" s="1" t="s">
        <v>114</v>
      </c>
      <c r="C7" s="1" t="s">
        <v>115</v>
      </c>
      <c r="D7" s="1" t="s">
        <v>116</v>
      </c>
      <c r="E7" s="1"/>
      <c r="F7" s="1"/>
      <c r="G7" s="1"/>
      <c r="H7" s="1"/>
      <c r="I7" s="1"/>
      <c r="J7" s="1"/>
      <c r="K7" s="1"/>
      <c r="L7" s="1"/>
      <c r="M7" s="1"/>
      <c r="N7" s="1"/>
      <c r="O7" s="1"/>
      <c r="P7" s="1"/>
      <c r="Q7" s="1"/>
      <c r="R7" s="1"/>
      <c r="S7" s="1"/>
      <c r="T7" s="1"/>
      <c r="U7" s="1"/>
      <c r="V7" s="1"/>
      <c r="W7" s="1"/>
      <c r="X7" s="1"/>
      <c r="Y7" s="1"/>
      <c r="Z7" s="1"/>
    </row>
    <row r="8" spans="1:26">
      <c r="A8" s="1">
        <v>5</v>
      </c>
      <c r="B8" s="1" t="s">
        <v>117</v>
      </c>
      <c r="C8" s="1" t="s">
        <v>118</v>
      </c>
      <c r="D8" s="1" t="s">
        <v>119</v>
      </c>
      <c r="E8" s="1"/>
      <c r="F8" s="1"/>
      <c r="G8" s="1"/>
      <c r="H8" s="1"/>
      <c r="I8" s="1"/>
      <c r="J8" s="1"/>
      <c r="K8" s="1"/>
      <c r="L8" s="1"/>
      <c r="M8" s="1"/>
      <c r="N8" s="1"/>
      <c r="O8" s="1"/>
      <c r="P8" s="1"/>
      <c r="Q8" s="1"/>
      <c r="R8" s="1"/>
      <c r="S8" s="1"/>
      <c r="T8" s="1"/>
      <c r="U8" s="1"/>
      <c r="V8" s="1"/>
      <c r="W8" s="1"/>
      <c r="X8" s="1"/>
      <c r="Y8" s="1"/>
      <c r="Z8" s="1"/>
    </row>
    <row r="9" spans="1:26">
      <c r="A9" s="1">
        <v>6</v>
      </c>
      <c r="B9" s="1" t="s">
        <v>120</v>
      </c>
      <c r="C9" s="1" t="s">
        <v>121</v>
      </c>
      <c r="D9" s="1" t="s">
        <v>122</v>
      </c>
      <c r="E9" s="1"/>
      <c r="F9" s="1"/>
      <c r="G9" s="1"/>
      <c r="H9" s="1"/>
      <c r="I9" s="1"/>
      <c r="J9" s="1"/>
      <c r="K9" s="1"/>
      <c r="L9" s="1"/>
      <c r="M9" s="1"/>
      <c r="N9" s="1"/>
      <c r="O9" s="1"/>
      <c r="P9" s="1"/>
      <c r="Q9" s="1"/>
      <c r="R9" s="1"/>
      <c r="S9" s="1"/>
      <c r="T9" s="1"/>
      <c r="U9" s="1"/>
      <c r="V9" s="1"/>
      <c r="W9" s="1"/>
      <c r="X9" s="1"/>
      <c r="Y9" s="1"/>
      <c r="Z9" s="1"/>
    </row>
    <row r="10" spans="1:26">
      <c r="A10" s="1">
        <v>7</v>
      </c>
      <c r="B10" s="1" t="s">
        <v>123</v>
      </c>
      <c r="C10" s="1" t="s">
        <v>124</v>
      </c>
      <c r="D10" s="1" t="s">
        <v>125</v>
      </c>
      <c r="E10" s="1"/>
      <c r="F10" s="1"/>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Quote Template</vt:lpstr>
      <vt:lpstr>Data Lists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Marshall Quick</dc:creator>
  <cp:lastModifiedBy>Marshall Quick</cp:lastModifiedBy>
  <dcterms:created xsi:type="dcterms:W3CDTF">2026-06-20T11:12:52Z</dcterms:created>
  <dcterms:modified xsi:type="dcterms:W3CDTF">2026-07-16T11:51:58Z</dcterms:modified>
</cp:coreProperties>
</file>